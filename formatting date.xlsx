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gabsi/Desktop/"/>
    </mc:Choice>
  </mc:AlternateContent>
  <xr:revisionPtr revIDLastSave="0" documentId="8_{9067F359-D1F9-164B-82A2-99A5620B9868}" xr6:coauthVersionLast="47" xr6:coauthVersionMax="47" xr10:uidLastSave="{00000000-0000-0000-0000-000000000000}"/>
  <bookViews>
    <workbookView xWindow="140" yWindow="660" windowWidth="28480" windowHeight="16120" xr2:uid="{12E0A992-AB3B-CE4A-AF04-92E6B317AFA0}"/>
  </bookViews>
  <sheets>
    <sheet name="DATASET + eserciz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3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4" i="1"/>
  <c r="X5" i="1"/>
  <c r="X6" i="1"/>
  <c r="X7" i="1"/>
  <c r="X3" i="1"/>
  <c r="W51" i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3" i="1"/>
  <c r="Q92" i="1"/>
  <c r="Q93" i="1"/>
  <c r="Q94" i="1"/>
  <c r="Q95" i="1"/>
  <c r="Q96" i="1"/>
  <c r="Q97" i="1"/>
  <c r="Q98" i="1"/>
  <c r="Q99" i="1"/>
  <c r="Q100" i="1"/>
  <c r="Q101" i="1"/>
  <c r="Q10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4" i="1"/>
  <c r="K3" i="1"/>
  <c r="J3" i="1"/>
  <c r="I3" i="1"/>
  <c r="H102" i="1"/>
  <c r="H92" i="1"/>
  <c r="H93" i="1"/>
  <c r="H94" i="1"/>
  <c r="H95" i="1"/>
  <c r="H96" i="1"/>
  <c r="H97" i="1"/>
  <c r="H98" i="1"/>
  <c r="H99" i="1"/>
  <c r="H100" i="1"/>
  <c r="H101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3" i="1"/>
</calcChain>
</file>

<file path=xl/sharedStrings.xml><?xml version="1.0" encoding="utf-8"?>
<sst xmlns="http://schemas.openxmlformats.org/spreadsheetml/2006/main" count="228" uniqueCount="158">
  <si>
    <t>Cliente</t>
  </si>
  <si>
    <t>Data_Ultimo_Acquisto</t>
  </si>
  <si>
    <t>Ora_Ultimo_Acquisto</t>
  </si>
  <si>
    <t>Data_Precedente_Acquisto</t>
  </si>
  <si>
    <t>Ora_Precedente_Acquisto</t>
  </si>
  <si>
    <t>Importo_Acquisto</t>
  </si>
  <si>
    <t>Cliente001</t>
  </si>
  <si>
    <t>45.90</t>
  </si>
  <si>
    <t>Cliente002</t>
  </si>
  <si>
    <t>132.50</t>
  </si>
  <si>
    <t>Cliente003</t>
  </si>
  <si>
    <t>78.10</t>
  </si>
  <si>
    <t>Cliente004</t>
  </si>
  <si>
    <t>29.99</t>
  </si>
  <si>
    <t>Cliente005</t>
  </si>
  <si>
    <t>90.00</t>
  </si>
  <si>
    <t>Cliente006</t>
  </si>
  <si>
    <t>110.00</t>
  </si>
  <si>
    <t>Cliente007</t>
  </si>
  <si>
    <t>67.80</t>
  </si>
  <si>
    <t>Cliente008</t>
  </si>
  <si>
    <t>45.50</t>
  </si>
  <si>
    <t>Cliente009</t>
  </si>
  <si>
    <t>89.70</t>
  </si>
  <si>
    <t>Cliente010</t>
  </si>
  <si>
    <t>200.00</t>
  </si>
  <si>
    <t>Cliente011</t>
  </si>
  <si>
    <t>150.00</t>
  </si>
  <si>
    <t>Cliente012</t>
  </si>
  <si>
    <t>55.00</t>
  </si>
  <si>
    <t>Cliente013</t>
  </si>
  <si>
    <t>78.90</t>
  </si>
  <si>
    <t>Cliente014</t>
  </si>
  <si>
    <t>48.00</t>
  </si>
  <si>
    <t>Cliente015</t>
  </si>
  <si>
    <t>123.40</t>
  </si>
  <si>
    <t>Cliente016</t>
  </si>
  <si>
    <t>89.00</t>
  </si>
  <si>
    <t>Cliente017</t>
  </si>
  <si>
    <t>79.99</t>
  </si>
  <si>
    <t>Cliente018</t>
  </si>
  <si>
    <t>115.00</t>
  </si>
  <si>
    <t>Cliente019</t>
  </si>
  <si>
    <t>99.90</t>
  </si>
  <si>
    <t>Cliente020</t>
  </si>
  <si>
    <t>44.44</t>
  </si>
  <si>
    <t>Cliente021</t>
  </si>
  <si>
    <t>50.00</t>
  </si>
  <si>
    <t>Cliente022</t>
  </si>
  <si>
    <t>120.00</t>
  </si>
  <si>
    <t>Cliente023</t>
  </si>
  <si>
    <t>80.00</t>
  </si>
  <si>
    <t>Cliente024</t>
  </si>
  <si>
    <t>60.00</t>
  </si>
  <si>
    <t>Cliente025</t>
  </si>
  <si>
    <t>Cliente026</t>
  </si>
  <si>
    <t>Cliente027</t>
  </si>
  <si>
    <t>70.00</t>
  </si>
  <si>
    <t>Cliente028</t>
  </si>
  <si>
    <t>45.00</t>
  </si>
  <si>
    <t>Cliente029</t>
  </si>
  <si>
    <t>130.00</t>
  </si>
  <si>
    <t>Cliente030</t>
  </si>
  <si>
    <t>85.00</t>
  </si>
  <si>
    <t>Cliente031</t>
  </si>
  <si>
    <t>95.00</t>
  </si>
  <si>
    <t>Cliente032</t>
  </si>
  <si>
    <t>99.99</t>
  </si>
  <si>
    <t>Cliente033</t>
  </si>
  <si>
    <t>75.00</t>
  </si>
  <si>
    <t>Cliente034</t>
  </si>
  <si>
    <t>65.00</t>
  </si>
  <si>
    <t>Cliente035</t>
  </si>
  <si>
    <t>140.00</t>
  </si>
  <si>
    <t>Cliente036</t>
  </si>
  <si>
    <t>Cliente037</t>
  </si>
  <si>
    <t>Cliente038</t>
  </si>
  <si>
    <t>Cliente039</t>
  </si>
  <si>
    <t>Cliente040</t>
  </si>
  <si>
    <t>105.00</t>
  </si>
  <si>
    <t>Cliente041</t>
  </si>
  <si>
    <t>Cliente042</t>
  </si>
  <si>
    <t>99.00</t>
  </si>
  <si>
    <t>Cliente043</t>
  </si>
  <si>
    <t>Cliente044</t>
  </si>
  <si>
    <t>Cliente045</t>
  </si>
  <si>
    <t>Cliente046</t>
  </si>
  <si>
    <t>Cliente047</t>
  </si>
  <si>
    <t>Cliente048</t>
  </si>
  <si>
    <t>Cliente049</t>
  </si>
  <si>
    <t>100.00</t>
  </si>
  <si>
    <t>Cliente050</t>
  </si>
  <si>
    <t>Cliente051</t>
  </si>
  <si>
    <t>Cliente052</t>
  </si>
  <si>
    <t>Cliente053</t>
  </si>
  <si>
    <t>Cliente054</t>
  </si>
  <si>
    <t>Cliente055</t>
  </si>
  <si>
    <t>Cliente056</t>
  </si>
  <si>
    <t>Cliente057</t>
  </si>
  <si>
    <t>Cliente058</t>
  </si>
  <si>
    <t>Cliente059</t>
  </si>
  <si>
    <t>Cliente060</t>
  </si>
  <si>
    <t>Cliente061</t>
  </si>
  <si>
    <t>Cliente062</t>
  </si>
  <si>
    <t>Cliente063</t>
  </si>
  <si>
    <t>Cliente064</t>
  </si>
  <si>
    <t>Cliente065</t>
  </si>
  <si>
    <t>Cliente066</t>
  </si>
  <si>
    <t>Cliente067</t>
  </si>
  <si>
    <t>Cliente068</t>
  </si>
  <si>
    <t>Cliente069</t>
  </si>
  <si>
    <t>Cliente070</t>
  </si>
  <si>
    <t>Cliente071</t>
  </si>
  <si>
    <t>Cliente072</t>
  </si>
  <si>
    <t>Cliente073</t>
  </si>
  <si>
    <t>Cliente074</t>
  </si>
  <si>
    <t>Cliente075</t>
  </si>
  <si>
    <t>Cliente076</t>
  </si>
  <si>
    <t>Cliente077</t>
  </si>
  <si>
    <t>Cliente078</t>
  </si>
  <si>
    <t>Cliente079</t>
  </si>
  <si>
    <t>Cliente080</t>
  </si>
  <si>
    <t>Cliente081</t>
  </si>
  <si>
    <t>Cliente082</t>
  </si>
  <si>
    <t>125.00</t>
  </si>
  <si>
    <t>Cliente083</t>
  </si>
  <si>
    <t>Cliente084</t>
  </si>
  <si>
    <t>Cliente085</t>
  </si>
  <si>
    <t>Cliente086</t>
  </si>
  <si>
    <t>Cliente087</t>
  </si>
  <si>
    <t>Cliente088</t>
  </si>
  <si>
    <t>Cliente089</t>
  </si>
  <si>
    <t>Cliente090</t>
  </si>
  <si>
    <t>Cliente091</t>
  </si>
  <si>
    <t>Cliente092</t>
  </si>
  <si>
    <t>Cliente093</t>
  </si>
  <si>
    <t>Cliente094</t>
  </si>
  <si>
    <t>Cliente095</t>
  </si>
  <si>
    <t>Cliente096</t>
  </si>
  <si>
    <t>Cliente097</t>
  </si>
  <si>
    <t>Cliente098</t>
  </si>
  <si>
    <t>Cliente099</t>
  </si>
  <si>
    <t>Cliente100</t>
  </si>
  <si>
    <t>Giorno</t>
  </si>
  <si>
    <t>Mese</t>
  </si>
  <si>
    <t>Anno</t>
  </si>
  <si>
    <t>Intervallo giorni</t>
  </si>
  <si>
    <t>Intervallo giorni escluso weekend</t>
  </si>
  <si>
    <t>Data prossimo acquisto</t>
  </si>
  <si>
    <t>Ora ultimo acquisto</t>
  </si>
  <si>
    <t>Ore</t>
  </si>
  <si>
    <t>Minuti</t>
  </si>
  <si>
    <t>Secondi</t>
  </si>
  <si>
    <t>Data Ultima acquisto</t>
  </si>
  <si>
    <t>Data precedente acquisto</t>
  </si>
  <si>
    <t>Ora precedente acquisto</t>
  </si>
  <si>
    <t>Time stamp seriale ultimo acquisto</t>
  </si>
  <si>
    <t>Time stamp seriale precedente acquisto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</si>
</sst>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dd"/>
    <numFmt numFmtId="170" formatCode="mm"/>
    <numFmt numFmtId="171" formatCode="yy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14" fontId="2" fillId="0" borderId="0" xfId="0" applyNumberFormat="1" applyFont="1"/>
    <xf numFmtId="21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B84E-3466-464B-92F0-D738D95052C4}">
  <dimension ref="A1:Y102"/>
  <sheetViews>
    <sheetView tabSelected="1" topLeftCell="B1" workbookViewId="0">
      <selection activeCell="I27" sqref="I27"/>
    </sheetView>
  </sheetViews>
  <sheetFormatPr baseColWidth="10" defaultRowHeight="16" x14ac:dyDescent="0.2"/>
  <cols>
    <col min="1" max="1" width="10" bestFit="1" customWidth="1"/>
    <col min="2" max="2" width="19.33203125" bestFit="1" customWidth="1"/>
    <col min="3" max="3" width="18.5" bestFit="1" customWidth="1"/>
    <col min="4" max="4" width="23.6640625" bestFit="1" customWidth="1"/>
    <col min="5" max="5" width="22.83203125" bestFit="1" customWidth="1"/>
    <col min="6" max="6" width="15.5" bestFit="1" customWidth="1"/>
    <col min="8" max="8" width="14.83203125" style="7" customWidth="1"/>
    <col min="15" max="15" width="9" customWidth="1"/>
    <col min="21" max="21" width="20.33203125" customWidth="1"/>
    <col min="22" max="22" width="28.6640625" customWidth="1"/>
    <col min="23" max="23" width="21.83203125" style="21" customWidth="1"/>
    <col min="24" max="24" width="36.83203125" style="21" customWidth="1"/>
    <col min="25" max="25" width="37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" t="s">
        <v>153</v>
      </c>
      <c r="I1" s="5"/>
      <c r="J1" s="5"/>
      <c r="K1" s="5"/>
      <c r="L1" s="8" t="s">
        <v>149</v>
      </c>
      <c r="M1" s="9"/>
      <c r="N1" s="10"/>
      <c r="O1" s="6" t="s">
        <v>154</v>
      </c>
      <c r="P1" s="6"/>
      <c r="Q1" s="6"/>
      <c r="R1" s="11" t="s">
        <v>155</v>
      </c>
      <c r="S1" s="12"/>
      <c r="T1" s="13"/>
      <c r="U1" s="16" t="s">
        <v>146</v>
      </c>
      <c r="V1" s="16" t="s">
        <v>147</v>
      </c>
      <c r="W1" s="16" t="s">
        <v>148</v>
      </c>
      <c r="X1" s="16" t="s">
        <v>156</v>
      </c>
      <c r="Y1" s="16" t="s">
        <v>157</v>
      </c>
    </row>
    <row r="2" spans="1:25" x14ac:dyDescent="0.2">
      <c r="A2" s="1" t="s">
        <v>6</v>
      </c>
      <c r="B2" s="2">
        <v>44941</v>
      </c>
      <c r="C2" s="3">
        <v>0.43315972222222221</v>
      </c>
      <c r="D2" s="2">
        <v>44931</v>
      </c>
      <c r="E2" s="3">
        <v>0.65777777777777779</v>
      </c>
      <c r="F2" s="4" t="s">
        <v>7</v>
      </c>
      <c r="H2" s="14" t="s">
        <v>0</v>
      </c>
      <c r="I2" s="15" t="s">
        <v>143</v>
      </c>
      <c r="J2" s="14" t="s">
        <v>144</v>
      </c>
      <c r="K2" s="14" t="s">
        <v>145</v>
      </c>
      <c r="L2" s="14" t="s">
        <v>150</v>
      </c>
      <c r="M2" s="14" t="s">
        <v>151</v>
      </c>
      <c r="N2" s="14" t="s">
        <v>152</v>
      </c>
      <c r="O2" s="14" t="s">
        <v>143</v>
      </c>
      <c r="P2" s="14" t="s">
        <v>144</v>
      </c>
      <c r="Q2" s="14" t="s">
        <v>145</v>
      </c>
      <c r="R2" s="14" t="s">
        <v>150</v>
      </c>
      <c r="S2" s="14" t="s">
        <v>151</v>
      </c>
      <c r="T2" s="14" t="s">
        <v>152</v>
      </c>
      <c r="U2" s="16"/>
      <c r="V2" s="16"/>
      <c r="W2" s="16"/>
      <c r="X2" s="16"/>
      <c r="Y2" s="16"/>
    </row>
    <row r="3" spans="1:25" x14ac:dyDescent="0.2">
      <c r="A3" s="1" t="s">
        <v>8</v>
      </c>
      <c r="B3" s="2">
        <v>44977</v>
      </c>
      <c r="C3" s="3">
        <v>0.38368055555555558</v>
      </c>
      <c r="D3" s="2">
        <v>44968</v>
      </c>
      <c r="E3" s="3">
        <v>0.46203703703703702</v>
      </c>
      <c r="F3" s="4" t="s">
        <v>9</v>
      </c>
      <c r="H3" s="17" t="str">
        <f>A2</f>
        <v>Cliente001</v>
      </c>
      <c r="I3" s="18">
        <f>DAY(B2)</f>
        <v>15</v>
      </c>
      <c r="J3" s="19">
        <f>MONTH(B2)</f>
        <v>1</v>
      </c>
      <c r="K3" s="20">
        <f>YEAR(B2)</f>
        <v>2023</v>
      </c>
      <c r="L3" s="17">
        <f>HOUR(C2)</f>
        <v>10</v>
      </c>
      <c r="M3" s="17">
        <f>MINUTE(C2)</f>
        <v>23</v>
      </c>
      <c r="N3" s="17">
        <f>SECOND(C2)</f>
        <v>45</v>
      </c>
      <c r="O3" s="17">
        <f>DAY(D2)</f>
        <v>5</v>
      </c>
      <c r="P3" s="17">
        <f>MONTH(D2)</f>
        <v>1</v>
      </c>
      <c r="Q3" s="17">
        <f>YEAR(D2)</f>
        <v>2023</v>
      </c>
      <c r="R3" s="17">
        <f>HOUR(E2)</f>
        <v>15</v>
      </c>
      <c r="S3" s="17">
        <f>MINUTE(E2)</f>
        <v>47</v>
      </c>
      <c r="T3" s="17">
        <f>SECOND(E2)</f>
        <v>12</v>
      </c>
      <c r="U3" s="17">
        <f>B2-D2</f>
        <v>10</v>
      </c>
      <c r="V3" s="17">
        <f>NETWORKDAYS.INTL(D2,B2,1)</f>
        <v>7</v>
      </c>
      <c r="W3" s="24">
        <f>B2+V3</f>
        <v>44948</v>
      </c>
      <c r="X3" s="23">
        <f>B2+C2</f>
        <v>44941.433159722219</v>
      </c>
      <c r="Y3" s="22">
        <f>D2+E2</f>
        <v>44931.657777777778</v>
      </c>
    </row>
    <row r="4" spans="1:25" x14ac:dyDescent="0.2">
      <c r="A4" s="1" t="s">
        <v>10</v>
      </c>
      <c r="B4" s="2">
        <v>44990</v>
      </c>
      <c r="C4" s="3">
        <v>0.6181712962962963</v>
      </c>
      <c r="D4" s="2">
        <v>44982</v>
      </c>
      <c r="E4" s="3">
        <v>0.55740740740740746</v>
      </c>
      <c r="F4" s="4" t="s">
        <v>11</v>
      </c>
      <c r="H4" s="17" t="str">
        <f t="shared" ref="H4:H67" si="0">A3</f>
        <v>Cliente002</v>
      </c>
      <c r="I4" s="18">
        <f>DAY(B3)</f>
        <v>20</v>
      </c>
      <c r="J4" s="19">
        <f t="shared" ref="J4:J67" si="1">MONTH(B3)</f>
        <v>2</v>
      </c>
      <c r="K4" s="20">
        <f t="shared" ref="K4:K67" si="2">YEAR(B3)</f>
        <v>2023</v>
      </c>
      <c r="L4" s="17">
        <f t="shared" ref="L4:L67" si="3">HOUR(C3)</f>
        <v>9</v>
      </c>
      <c r="M4" s="17">
        <f t="shared" ref="M4:M67" si="4">MINUTE(C3)</f>
        <v>12</v>
      </c>
      <c r="N4" s="17">
        <f t="shared" ref="N4:N67" si="5">SECOND(C3)</f>
        <v>30</v>
      </c>
      <c r="O4" s="17">
        <f t="shared" ref="O4:O67" si="6">DAY(D3)</f>
        <v>11</v>
      </c>
      <c r="P4" s="17">
        <f t="shared" ref="P4:P67" si="7">MONTH(D3)</f>
        <v>2</v>
      </c>
      <c r="Q4" s="17">
        <f t="shared" ref="Q4:Q67" si="8">YEAR(D3)</f>
        <v>2023</v>
      </c>
      <c r="R4" s="17">
        <f t="shared" ref="R4:R67" si="9">HOUR(E3)</f>
        <v>11</v>
      </c>
      <c r="S4" s="17">
        <f t="shared" ref="S4:S67" si="10">MINUTE(E3)</f>
        <v>5</v>
      </c>
      <c r="T4" s="17">
        <f t="shared" ref="T4:T67" si="11">SECOND(E3)</f>
        <v>20</v>
      </c>
      <c r="U4" s="17">
        <f>B3-D3</f>
        <v>9</v>
      </c>
      <c r="V4" s="17">
        <f>NETWORKDAYS.INTL(D3,B3,1)</f>
        <v>6</v>
      </c>
      <c r="W4" s="24">
        <f>B3+V4</f>
        <v>44983</v>
      </c>
      <c r="X4" s="23">
        <f t="shared" ref="X4:X67" si="12">B3+C3</f>
        <v>44977.383680555555</v>
      </c>
      <c r="Y4" s="22">
        <f t="shared" ref="Y4:Y67" si="13">D3+E3</f>
        <v>44968.462037037039</v>
      </c>
    </row>
    <row r="5" spans="1:25" x14ac:dyDescent="0.2">
      <c r="A5" s="1" t="s">
        <v>12</v>
      </c>
      <c r="B5" s="2">
        <v>45013</v>
      </c>
      <c r="C5" s="3">
        <v>0.69097222222222221</v>
      </c>
      <c r="D5" s="2">
        <v>45003</v>
      </c>
      <c r="E5" s="3">
        <v>0.43755787037037036</v>
      </c>
      <c r="F5" s="4" t="s">
        <v>13</v>
      </c>
      <c r="H5" s="17" t="str">
        <f t="shared" si="0"/>
        <v>Cliente003</v>
      </c>
      <c r="I5" s="18">
        <f t="shared" ref="I5:I68" si="14">DAY(B4)</f>
        <v>5</v>
      </c>
      <c r="J5" s="19">
        <f t="shared" si="1"/>
        <v>3</v>
      </c>
      <c r="K5" s="20">
        <f t="shared" si="2"/>
        <v>2023</v>
      </c>
      <c r="L5" s="17">
        <f t="shared" si="3"/>
        <v>14</v>
      </c>
      <c r="M5" s="17">
        <f t="shared" si="4"/>
        <v>50</v>
      </c>
      <c r="N5" s="17">
        <f t="shared" si="5"/>
        <v>10</v>
      </c>
      <c r="O5" s="17">
        <f t="shared" si="6"/>
        <v>25</v>
      </c>
      <c r="P5" s="17">
        <f t="shared" si="7"/>
        <v>2</v>
      </c>
      <c r="Q5" s="17">
        <f t="shared" si="8"/>
        <v>2023</v>
      </c>
      <c r="R5" s="17">
        <f t="shared" si="9"/>
        <v>13</v>
      </c>
      <c r="S5" s="17">
        <f t="shared" si="10"/>
        <v>22</v>
      </c>
      <c r="T5" s="17">
        <f t="shared" si="11"/>
        <v>40</v>
      </c>
      <c r="U5" s="17">
        <f>B4-D4</f>
        <v>8</v>
      </c>
      <c r="V5" s="17">
        <f>NETWORKDAYS.INTL(D4,B4,1)</f>
        <v>5</v>
      </c>
      <c r="W5" s="24">
        <f>B4+V5</f>
        <v>44995</v>
      </c>
      <c r="X5" s="23">
        <f t="shared" si="12"/>
        <v>44990.618171296293</v>
      </c>
      <c r="Y5" s="22">
        <f t="shared" si="13"/>
        <v>44982.55740740741</v>
      </c>
    </row>
    <row r="6" spans="1:25" x14ac:dyDescent="0.2">
      <c r="A6" s="1" t="s">
        <v>14</v>
      </c>
      <c r="B6" s="2">
        <v>45026</v>
      </c>
      <c r="C6" s="3">
        <v>0.34438657407407408</v>
      </c>
      <c r="D6" s="2">
        <v>45015</v>
      </c>
      <c r="E6" s="3">
        <v>0.40659722222222222</v>
      </c>
      <c r="F6" s="4" t="s">
        <v>15</v>
      </c>
      <c r="H6" s="17" t="str">
        <f t="shared" si="0"/>
        <v>Cliente004</v>
      </c>
      <c r="I6" s="18">
        <f t="shared" si="14"/>
        <v>28</v>
      </c>
      <c r="J6" s="19">
        <f t="shared" si="1"/>
        <v>3</v>
      </c>
      <c r="K6" s="20">
        <f t="shared" si="2"/>
        <v>2023</v>
      </c>
      <c r="L6" s="17">
        <f t="shared" si="3"/>
        <v>16</v>
      </c>
      <c r="M6" s="17">
        <f t="shared" si="4"/>
        <v>35</v>
      </c>
      <c r="N6" s="17">
        <f t="shared" si="5"/>
        <v>0</v>
      </c>
      <c r="O6" s="17">
        <f t="shared" si="6"/>
        <v>18</v>
      </c>
      <c r="P6" s="17">
        <f t="shared" si="7"/>
        <v>3</v>
      </c>
      <c r="Q6" s="17">
        <f t="shared" si="8"/>
        <v>2023</v>
      </c>
      <c r="R6" s="17">
        <f t="shared" si="9"/>
        <v>10</v>
      </c>
      <c r="S6" s="17">
        <f t="shared" si="10"/>
        <v>30</v>
      </c>
      <c r="T6" s="17">
        <f t="shared" si="11"/>
        <v>5</v>
      </c>
      <c r="U6" s="17">
        <f>B5-D5</f>
        <v>10</v>
      </c>
      <c r="V6" s="17">
        <f>NETWORKDAYS.INTL(D5,B5,1)</f>
        <v>7</v>
      </c>
      <c r="W6" s="24">
        <f>B5+V6</f>
        <v>45020</v>
      </c>
      <c r="X6" s="23">
        <f t="shared" si="12"/>
        <v>45013.690972222219</v>
      </c>
      <c r="Y6" s="22">
        <f t="shared" si="13"/>
        <v>45003.437557870369</v>
      </c>
    </row>
    <row r="7" spans="1:25" x14ac:dyDescent="0.2">
      <c r="A7" s="1" t="s">
        <v>16</v>
      </c>
      <c r="B7" s="2">
        <v>45048</v>
      </c>
      <c r="C7" s="3">
        <v>0.48958333333333331</v>
      </c>
      <c r="D7" s="2">
        <v>45038</v>
      </c>
      <c r="E7" s="3">
        <v>0.70885416666666667</v>
      </c>
      <c r="F7" s="4" t="s">
        <v>17</v>
      </c>
      <c r="H7" s="17" t="str">
        <f t="shared" si="0"/>
        <v>Cliente005</v>
      </c>
      <c r="I7" s="18">
        <f t="shared" si="14"/>
        <v>10</v>
      </c>
      <c r="J7" s="19">
        <f t="shared" si="1"/>
        <v>4</v>
      </c>
      <c r="K7" s="20">
        <f t="shared" si="2"/>
        <v>2023</v>
      </c>
      <c r="L7" s="17">
        <f t="shared" si="3"/>
        <v>8</v>
      </c>
      <c r="M7" s="17">
        <f t="shared" si="4"/>
        <v>15</v>
      </c>
      <c r="N7" s="17">
        <f t="shared" si="5"/>
        <v>55</v>
      </c>
      <c r="O7" s="17">
        <f t="shared" si="6"/>
        <v>30</v>
      </c>
      <c r="P7" s="17">
        <f t="shared" si="7"/>
        <v>3</v>
      </c>
      <c r="Q7" s="17">
        <f t="shared" si="8"/>
        <v>2023</v>
      </c>
      <c r="R7" s="17">
        <f t="shared" si="9"/>
        <v>9</v>
      </c>
      <c r="S7" s="17">
        <f t="shared" si="10"/>
        <v>45</v>
      </c>
      <c r="T7" s="17">
        <f t="shared" si="11"/>
        <v>30</v>
      </c>
      <c r="U7" s="17">
        <f>B6-D6</f>
        <v>11</v>
      </c>
      <c r="V7" s="17">
        <f>NETWORKDAYS.INTL(D6,B6,1)</f>
        <v>8</v>
      </c>
      <c r="W7" s="24">
        <f>B6+V7</f>
        <v>45034</v>
      </c>
      <c r="X7" s="23">
        <f t="shared" si="12"/>
        <v>45026.344386574077</v>
      </c>
      <c r="Y7" s="22">
        <f t="shared" si="13"/>
        <v>45015.406597222223</v>
      </c>
    </row>
    <row r="8" spans="1:25" x14ac:dyDescent="0.2">
      <c r="A8" s="1" t="s">
        <v>18</v>
      </c>
      <c r="B8" s="2">
        <v>45066</v>
      </c>
      <c r="C8" s="3">
        <v>0.5502893518518519</v>
      </c>
      <c r="D8" s="2">
        <v>45054</v>
      </c>
      <c r="E8" s="3">
        <v>0.62170138888888893</v>
      </c>
      <c r="F8" s="4" t="s">
        <v>19</v>
      </c>
      <c r="H8" s="17" t="str">
        <f t="shared" si="0"/>
        <v>Cliente006</v>
      </c>
      <c r="I8" s="18">
        <f t="shared" si="14"/>
        <v>2</v>
      </c>
      <c r="J8" s="19">
        <f t="shared" si="1"/>
        <v>5</v>
      </c>
      <c r="K8" s="20">
        <f t="shared" si="2"/>
        <v>2023</v>
      </c>
      <c r="L8" s="17">
        <f t="shared" si="3"/>
        <v>11</v>
      </c>
      <c r="M8" s="17">
        <f t="shared" si="4"/>
        <v>45</v>
      </c>
      <c r="N8" s="17">
        <f t="shared" si="5"/>
        <v>0</v>
      </c>
      <c r="O8" s="17">
        <f t="shared" si="6"/>
        <v>22</v>
      </c>
      <c r="P8" s="17">
        <f t="shared" si="7"/>
        <v>4</v>
      </c>
      <c r="Q8" s="17">
        <f t="shared" si="8"/>
        <v>2023</v>
      </c>
      <c r="R8" s="17">
        <f t="shared" si="9"/>
        <v>17</v>
      </c>
      <c r="S8" s="17">
        <f t="shared" si="10"/>
        <v>0</v>
      </c>
      <c r="T8" s="17">
        <f t="shared" si="11"/>
        <v>45</v>
      </c>
      <c r="U8" s="17">
        <f>B7-D7</f>
        <v>10</v>
      </c>
      <c r="V8" s="17">
        <f>NETWORKDAYS.INTL(D7,B7,1)</f>
        <v>7</v>
      </c>
      <c r="W8" s="24">
        <f>B7+V8</f>
        <v>45055</v>
      </c>
      <c r="X8" s="23">
        <f t="shared" si="12"/>
        <v>45048.489583333336</v>
      </c>
      <c r="Y8" s="22">
        <f t="shared" si="13"/>
        <v>45038.708854166667</v>
      </c>
    </row>
    <row r="9" spans="1:25" x14ac:dyDescent="0.2">
      <c r="A9" s="1" t="s">
        <v>20</v>
      </c>
      <c r="B9" s="2">
        <v>45092</v>
      </c>
      <c r="C9" s="3">
        <v>0.62511574074074072</v>
      </c>
      <c r="D9" s="2">
        <v>45078</v>
      </c>
      <c r="E9" s="3">
        <v>0.38252314814814814</v>
      </c>
      <c r="F9" s="4" t="s">
        <v>21</v>
      </c>
      <c r="H9" s="17" t="str">
        <f t="shared" si="0"/>
        <v>Cliente007</v>
      </c>
      <c r="I9" s="18">
        <f t="shared" si="14"/>
        <v>20</v>
      </c>
      <c r="J9" s="19">
        <f t="shared" si="1"/>
        <v>5</v>
      </c>
      <c r="K9" s="20">
        <f t="shared" si="2"/>
        <v>2023</v>
      </c>
      <c r="L9" s="17">
        <f t="shared" si="3"/>
        <v>13</v>
      </c>
      <c r="M9" s="17">
        <f t="shared" si="4"/>
        <v>12</v>
      </c>
      <c r="N9" s="17">
        <f t="shared" si="5"/>
        <v>25</v>
      </c>
      <c r="O9" s="17">
        <f t="shared" si="6"/>
        <v>8</v>
      </c>
      <c r="P9" s="17">
        <f t="shared" si="7"/>
        <v>5</v>
      </c>
      <c r="Q9" s="17">
        <f t="shared" si="8"/>
        <v>2023</v>
      </c>
      <c r="R9" s="17">
        <f t="shared" si="9"/>
        <v>14</v>
      </c>
      <c r="S9" s="17">
        <f t="shared" si="10"/>
        <v>55</v>
      </c>
      <c r="T9" s="17">
        <f t="shared" si="11"/>
        <v>15</v>
      </c>
      <c r="U9" s="17">
        <f>B8-D8</f>
        <v>12</v>
      </c>
      <c r="V9" s="17">
        <f>NETWORKDAYS.INTL(D8,B8,1)</f>
        <v>10</v>
      </c>
      <c r="W9" s="24">
        <f>B8+V9</f>
        <v>45076</v>
      </c>
      <c r="X9" s="23">
        <f t="shared" si="12"/>
        <v>45066.55028935185</v>
      </c>
      <c r="Y9" s="22">
        <f t="shared" si="13"/>
        <v>45054.621701388889</v>
      </c>
    </row>
    <row r="10" spans="1:25" x14ac:dyDescent="0.2">
      <c r="A10" s="1" t="s">
        <v>22</v>
      </c>
      <c r="B10" s="2">
        <v>45110</v>
      </c>
      <c r="C10" s="3">
        <v>0.52083333333333337</v>
      </c>
      <c r="D10" s="2">
        <v>45099</v>
      </c>
      <c r="E10" s="3">
        <v>0.47256944444444443</v>
      </c>
      <c r="F10" s="4" t="s">
        <v>23</v>
      </c>
      <c r="H10" s="17" t="str">
        <f t="shared" si="0"/>
        <v>Cliente008</v>
      </c>
      <c r="I10" s="18">
        <f t="shared" si="14"/>
        <v>15</v>
      </c>
      <c r="J10" s="19">
        <f t="shared" si="1"/>
        <v>6</v>
      </c>
      <c r="K10" s="20">
        <f t="shared" si="2"/>
        <v>2023</v>
      </c>
      <c r="L10" s="17">
        <f t="shared" si="3"/>
        <v>15</v>
      </c>
      <c r="M10" s="17">
        <f t="shared" si="4"/>
        <v>0</v>
      </c>
      <c r="N10" s="17">
        <f t="shared" si="5"/>
        <v>10</v>
      </c>
      <c r="O10" s="17">
        <f t="shared" si="6"/>
        <v>1</v>
      </c>
      <c r="P10" s="17">
        <f t="shared" si="7"/>
        <v>6</v>
      </c>
      <c r="Q10" s="17">
        <f t="shared" si="8"/>
        <v>2023</v>
      </c>
      <c r="R10" s="17">
        <f t="shared" si="9"/>
        <v>9</v>
      </c>
      <c r="S10" s="17">
        <f t="shared" si="10"/>
        <v>10</v>
      </c>
      <c r="T10" s="17">
        <f t="shared" si="11"/>
        <v>50</v>
      </c>
      <c r="U10" s="17">
        <f>B9-D9</f>
        <v>14</v>
      </c>
      <c r="V10" s="17">
        <f>NETWORKDAYS.INTL(D9,B9,1)</f>
        <v>11</v>
      </c>
      <c r="W10" s="24">
        <f>B9+V10</f>
        <v>45103</v>
      </c>
      <c r="X10" s="23">
        <f t="shared" si="12"/>
        <v>45092.625115740739</v>
      </c>
      <c r="Y10" s="22">
        <f t="shared" si="13"/>
        <v>45078.382523148146</v>
      </c>
    </row>
    <row r="11" spans="1:25" x14ac:dyDescent="0.2">
      <c r="A11" s="1" t="s">
        <v>24</v>
      </c>
      <c r="B11" s="2">
        <v>45127</v>
      </c>
      <c r="C11" s="3">
        <v>0.42054398148148148</v>
      </c>
      <c r="D11" s="2">
        <v>45112</v>
      </c>
      <c r="E11" s="3">
        <v>0.36128472222222224</v>
      </c>
      <c r="F11" s="4" t="s">
        <v>25</v>
      </c>
      <c r="H11" s="17" t="str">
        <f t="shared" si="0"/>
        <v>Cliente009</v>
      </c>
      <c r="I11" s="18">
        <f t="shared" si="14"/>
        <v>3</v>
      </c>
      <c r="J11" s="19">
        <f t="shared" si="1"/>
        <v>7</v>
      </c>
      <c r="K11" s="20">
        <f t="shared" si="2"/>
        <v>2023</v>
      </c>
      <c r="L11" s="17">
        <f t="shared" si="3"/>
        <v>12</v>
      </c>
      <c r="M11" s="17">
        <f t="shared" si="4"/>
        <v>30</v>
      </c>
      <c r="N11" s="17">
        <f t="shared" si="5"/>
        <v>0</v>
      </c>
      <c r="O11" s="17">
        <f t="shared" si="6"/>
        <v>22</v>
      </c>
      <c r="P11" s="17">
        <f t="shared" si="7"/>
        <v>6</v>
      </c>
      <c r="Q11" s="17">
        <f t="shared" si="8"/>
        <v>2023</v>
      </c>
      <c r="R11" s="17">
        <f t="shared" si="9"/>
        <v>11</v>
      </c>
      <c r="S11" s="17">
        <f t="shared" si="10"/>
        <v>20</v>
      </c>
      <c r="T11" s="17">
        <f t="shared" si="11"/>
        <v>30</v>
      </c>
      <c r="U11" s="17">
        <f>B10-D10</f>
        <v>11</v>
      </c>
      <c r="V11" s="17">
        <f>NETWORKDAYS.INTL(D10,B10,1)</f>
        <v>8</v>
      </c>
      <c r="W11" s="24">
        <f>B10+V11</f>
        <v>45118</v>
      </c>
      <c r="X11" s="23">
        <f t="shared" si="12"/>
        <v>45110.520833333336</v>
      </c>
      <c r="Y11" s="22">
        <f t="shared" si="13"/>
        <v>45099.472569444442</v>
      </c>
    </row>
    <row r="12" spans="1:25" x14ac:dyDescent="0.2">
      <c r="A12" s="1" t="s">
        <v>26</v>
      </c>
      <c r="B12" s="2">
        <v>45148</v>
      </c>
      <c r="C12" s="3">
        <v>0.69814814814814818</v>
      </c>
      <c r="D12" s="2">
        <v>45136</v>
      </c>
      <c r="E12" s="3">
        <v>0.55960648148148151</v>
      </c>
      <c r="F12" s="4" t="s">
        <v>27</v>
      </c>
      <c r="H12" s="17" t="str">
        <f t="shared" si="0"/>
        <v>Cliente010</v>
      </c>
      <c r="I12" s="18">
        <f t="shared" si="14"/>
        <v>20</v>
      </c>
      <c r="J12" s="19">
        <f t="shared" si="1"/>
        <v>7</v>
      </c>
      <c r="K12" s="20">
        <f t="shared" si="2"/>
        <v>2023</v>
      </c>
      <c r="L12" s="17">
        <f t="shared" si="3"/>
        <v>10</v>
      </c>
      <c r="M12" s="17">
        <f t="shared" si="4"/>
        <v>5</v>
      </c>
      <c r="N12" s="17">
        <f t="shared" si="5"/>
        <v>35</v>
      </c>
      <c r="O12" s="17">
        <f t="shared" si="6"/>
        <v>5</v>
      </c>
      <c r="P12" s="17">
        <f t="shared" si="7"/>
        <v>7</v>
      </c>
      <c r="Q12" s="17">
        <f t="shared" si="8"/>
        <v>2023</v>
      </c>
      <c r="R12" s="17">
        <f t="shared" si="9"/>
        <v>8</v>
      </c>
      <c r="S12" s="17">
        <f t="shared" si="10"/>
        <v>40</v>
      </c>
      <c r="T12" s="17">
        <f t="shared" si="11"/>
        <v>15</v>
      </c>
      <c r="U12" s="17">
        <f>B11-D11</f>
        <v>15</v>
      </c>
      <c r="V12" s="17">
        <f>NETWORKDAYS.INTL(D11,B11,1)</f>
        <v>12</v>
      </c>
      <c r="W12" s="24">
        <f>B11+V12</f>
        <v>45139</v>
      </c>
      <c r="X12" s="23">
        <f t="shared" si="12"/>
        <v>45127.420543981483</v>
      </c>
      <c r="Y12" s="22">
        <f t="shared" si="13"/>
        <v>45112.361284722225</v>
      </c>
    </row>
    <row r="13" spans="1:25" x14ac:dyDescent="0.2">
      <c r="A13" s="1" t="s">
        <v>28</v>
      </c>
      <c r="B13" s="2">
        <v>45168</v>
      </c>
      <c r="C13" s="3">
        <v>0.375</v>
      </c>
      <c r="D13" s="2">
        <v>45158</v>
      </c>
      <c r="E13" s="3">
        <v>0.42743055555555554</v>
      </c>
      <c r="F13" s="4" t="s">
        <v>29</v>
      </c>
      <c r="H13" s="17" t="str">
        <f t="shared" si="0"/>
        <v>Cliente011</v>
      </c>
      <c r="I13" s="18">
        <f t="shared" si="14"/>
        <v>10</v>
      </c>
      <c r="J13" s="19">
        <f t="shared" si="1"/>
        <v>8</v>
      </c>
      <c r="K13" s="20">
        <f t="shared" si="2"/>
        <v>2023</v>
      </c>
      <c r="L13" s="17">
        <f t="shared" si="3"/>
        <v>16</v>
      </c>
      <c r="M13" s="17">
        <f t="shared" si="4"/>
        <v>45</v>
      </c>
      <c r="N13" s="17">
        <f t="shared" si="5"/>
        <v>20</v>
      </c>
      <c r="O13" s="17">
        <f t="shared" si="6"/>
        <v>29</v>
      </c>
      <c r="P13" s="17">
        <f t="shared" si="7"/>
        <v>7</v>
      </c>
      <c r="Q13" s="17">
        <f t="shared" si="8"/>
        <v>2023</v>
      </c>
      <c r="R13" s="17">
        <f t="shared" si="9"/>
        <v>13</v>
      </c>
      <c r="S13" s="17">
        <f t="shared" si="10"/>
        <v>25</v>
      </c>
      <c r="T13" s="17">
        <f t="shared" si="11"/>
        <v>50</v>
      </c>
      <c r="U13" s="17">
        <f>B12-D12</f>
        <v>12</v>
      </c>
      <c r="V13" s="17">
        <f>NETWORKDAYS.INTL(D12,B12,1)</f>
        <v>9</v>
      </c>
      <c r="W13" s="24">
        <f>B12+V13</f>
        <v>45157</v>
      </c>
      <c r="X13" s="23">
        <f t="shared" si="12"/>
        <v>45148.698148148149</v>
      </c>
      <c r="Y13" s="22">
        <f t="shared" si="13"/>
        <v>45136.559606481482</v>
      </c>
    </row>
    <row r="14" spans="1:25" x14ac:dyDescent="0.2">
      <c r="A14" s="1" t="s">
        <v>30</v>
      </c>
      <c r="B14" s="2">
        <v>45184</v>
      </c>
      <c r="C14" s="3">
        <v>0.60462962962962963</v>
      </c>
      <c r="D14" s="2">
        <v>45170</v>
      </c>
      <c r="E14" s="3">
        <v>0.50347222222222221</v>
      </c>
      <c r="F14" s="4" t="s">
        <v>31</v>
      </c>
      <c r="H14" s="17" t="str">
        <f t="shared" si="0"/>
        <v>Cliente012</v>
      </c>
      <c r="I14" s="18">
        <f t="shared" si="14"/>
        <v>30</v>
      </c>
      <c r="J14" s="19">
        <f t="shared" si="1"/>
        <v>8</v>
      </c>
      <c r="K14" s="20">
        <f t="shared" si="2"/>
        <v>2023</v>
      </c>
      <c r="L14" s="17">
        <f t="shared" si="3"/>
        <v>9</v>
      </c>
      <c r="M14" s="17">
        <f t="shared" si="4"/>
        <v>0</v>
      </c>
      <c r="N14" s="17">
        <f t="shared" si="5"/>
        <v>0</v>
      </c>
      <c r="O14" s="17">
        <f t="shared" si="6"/>
        <v>20</v>
      </c>
      <c r="P14" s="17">
        <f t="shared" si="7"/>
        <v>8</v>
      </c>
      <c r="Q14" s="17">
        <f t="shared" si="8"/>
        <v>2023</v>
      </c>
      <c r="R14" s="17">
        <f t="shared" si="9"/>
        <v>10</v>
      </c>
      <c r="S14" s="17">
        <f t="shared" si="10"/>
        <v>15</v>
      </c>
      <c r="T14" s="17">
        <f t="shared" si="11"/>
        <v>30</v>
      </c>
      <c r="U14" s="17">
        <f>B13-D13</f>
        <v>10</v>
      </c>
      <c r="V14" s="17">
        <f>NETWORKDAYS.INTL(D13,B13,1)</f>
        <v>8</v>
      </c>
      <c r="W14" s="24">
        <f>B13+V14</f>
        <v>45176</v>
      </c>
      <c r="X14" s="23">
        <f t="shared" si="12"/>
        <v>45168.375</v>
      </c>
      <c r="Y14" s="22">
        <f t="shared" si="13"/>
        <v>45158.427430555559</v>
      </c>
    </row>
    <row r="15" spans="1:25" x14ac:dyDescent="0.2">
      <c r="A15" s="1" t="s">
        <v>32</v>
      </c>
      <c r="B15" s="2">
        <v>45194</v>
      </c>
      <c r="C15" s="3">
        <v>0.47372685185185187</v>
      </c>
      <c r="D15" s="2">
        <v>45179</v>
      </c>
      <c r="E15" s="3">
        <v>0.41348379629629628</v>
      </c>
      <c r="F15" s="4" t="s">
        <v>33</v>
      </c>
      <c r="H15" s="17" t="str">
        <f t="shared" si="0"/>
        <v>Cliente013</v>
      </c>
      <c r="I15" s="18">
        <f t="shared" si="14"/>
        <v>15</v>
      </c>
      <c r="J15" s="19">
        <f t="shared" si="1"/>
        <v>9</v>
      </c>
      <c r="K15" s="20">
        <f t="shared" si="2"/>
        <v>2023</v>
      </c>
      <c r="L15" s="17">
        <f t="shared" si="3"/>
        <v>14</v>
      </c>
      <c r="M15" s="17">
        <f t="shared" si="4"/>
        <v>30</v>
      </c>
      <c r="N15" s="17">
        <f t="shared" si="5"/>
        <v>40</v>
      </c>
      <c r="O15" s="17">
        <f t="shared" si="6"/>
        <v>1</v>
      </c>
      <c r="P15" s="17">
        <f t="shared" si="7"/>
        <v>9</v>
      </c>
      <c r="Q15" s="17">
        <f t="shared" si="8"/>
        <v>2023</v>
      </c>
      <c r="R15" s="17">
        <f t="shared" si="9"/>
        <v>12</v>
      </c>
      <c r="S15" s="17">
        <f t="shared" si="10"/>
        <v>5</v>
      </c>
      <c r="T15" s="17">
        <f t="shared" si="11"/>
        <v>0</v>
      </c>
      <c r="U15" s="17">
        <f>B14-D14</f>
        <v>14</v>
      </c>
      <c r="V15" s="17">
        <f>NETWORKDAYS.INTL(D14,B14,1)</f>
        <v>11</v>
      </c>
      <c r="W15" s="24">
        <f>B14+V15</f>
        <v>45195</v>
      </c>
      <c r="X15" s="23">
        <f t="shared" si="12"/>
        <v>45184.604629629626</v>
      </c>
      <c r="Y15" s="22">
        <f t="shared" si="13"/>
        <v>45170.503472222219</v>
      </c>
    </row>
    <row r="16" spans="1:25" x14ac:dyDescent="0.2">
      <c r="A16" s="1" t="s">
        <v>34</v>
      </c>
      <c r="B16" s="2">
        <v>45204</v>
      </c>
      <c r="C16" s="3">
        <v>0.42372685185185183</v>
      </c>
      <c r="D16" s="2">
        <v>45194</v>
      </c>
      <c r="E16" s="3">
        <v>0.61458333333333337</v>
      </c>
      <c r="F16" s="4" t="s">
        <v>35</v>
      </c>
      <c r="H16" s="17" t="str">
        <f t="shared" si="0"/>
        <v>Cliente014</v>
      </c>
      <c r="I16" s="18">
        <f t="shared" si="14"/>
        <v>25</v>
      </c>
      <c r="J16" s="19">
        <f t="shared" si="1"/>
        <v>9</v>
      </c>
      <c r="K16" s="20">
        <f t="shared" si="2"/>
        <v>2023</v>
      </c>
      <c r="L16" s="17">
        <f t="shared" si="3"/>
        <v>11</v>
      </c>
      <c r="M16" s="17">
        <f t="shared" si="4"/>
        <v>22</v>
      </c>
      <c r="N16" s="17">
        <f t="shared" si="5"/>
        <v>10</v>
      </c>
      <c r="O16" s="17">
        <f t="shared" si="6"/>
        <v>10</v>
      </c>
      <c r="P16" s="17">
        <f t="shared" si="7"/>
        <v>9</v>
      </c>
      <c r="Q16" s="17">
        <f t="shared" si="8"/>
        <v>2023</v>
      </c>
      <c r="R16" s="17">
        <f t="shared" si="9"/>
        <v>9</v>
      </c>
      <c r="S16" s="17">
        <f t="shared" si="10"/>
        <v>55</v>
      </c>
      <c r="T16" s="17">
        <f t="shared" si="11"/>
        <v>25</v>
      </c>
      <c r="U16" s="17">
        <f>B15-D15</f>
        <v>15</v>
      </c>
      <c r="V16" s="17">
        <f>NETWORKDAYS.INTL(D15,B15,1)</f>
        <v>11</v>
      </c>
      <c r="W16" s="24">
        <f>B15+V16</f>
        <v>45205</v>
      </c>
      <c r="X16" s="23">
        <f t="shared" si="12"/>
        <v>45194.473726851851</v>
      </c>
      <c r="Y16" s="22">
        <f t="shared" si="13"/>
        <v>45179.413483796299</v>
      </c>
    </row>
    <row r="17" spans="1:25" x14ac:dyDescent="0.2">
      <c r="A17" s="1" t="s">
        <v>36</v>
      </c>
      <c r="B17" s="2">
        <v>45219</v>
      </c>
      <c r="C17" s="3">
        <v>0.37216435185185187</v>
      </c>
      <c r="D17" s="2">
        <v>45209</v>
      </c>
      <c r="E17" s="3">
        <v>0.56284722222222228</v>
      </c>
      <c r="F17" s="4" t="s">
        <v>37</v>
      </c>
      <c r="H17" s="17" t="str">
        <f t="shared" si="0"/>
        <v>Cliente015</v>
      </c>
      <c r="I17" s="18">
        <f t="shared" si="14"/>
        <v>5</v>
      </c>
      <c r="J17" s="19">
        <f t="shared" si="1"/>
        <v>10</v>
      </c>
      <c r="K17" s="20">
        <f t="shared" si="2"/>
        <v>2023</v>
      </c>
      <c r="L17" s="17">
        <f t="shared" si="3"/>
        <v>10</v>
      </c>
      <c r="M17" s="17">
        <f t="shared" si="4"/>
        <v>10</v>
      </c>
      <c r="N17" s="17">
        <f t="shared" si="5"/>
        <v>10</v>
      </c>
      <c r="O17" s="17">
        <f t="shared" si="6"/>
        <v>25</v>
      </c>
      <c r="P17" s="17">
        <f t="shared" si="7"/>
        <v>9</v>
      </c>
      <c r="Q17" s="17">
        <f t="shared" si="8"/>
        <v>2023</v>
      </c>
      <c r="R17" s="17">
        <f t="shared" si="9"/>
        <v>14</v>
      </c>
      <c r="S17" s="17">
        <f t="shared" si="10"/>
        <v>45</v>
      </c>
      <c r="T17" s="17">
        <f t="shared" si="11"/>
        <v>0</v>
      </c>
      <c r="U17" s="17">
        <f>B16-D16</f>
        <v>10</v>
      </c>
      <c r="V17" s="17">
        <f>NETWORKDAYS.INTL(D16,B16,1)</f>
        <v>9</v>
      </c>
      <c r="W17" s="24">
        <f>B16+V17</f>
        <v>45213</v>
      </c>
      <c r="X17" s="23">
        <f t="shared" si="12"/>
        <v>45204.423726851855</v>
      </c>
      <c r="Y17" s="22">
        <f t="shared" si="13"/>
        <v>45194.614583333336</v>
      </c>
    </row>
    <row r="18" spans="1:25" x14ac:dyDescent="0.2">
      <c r="A18" s="1" t="s">
        <v>38</v>
      </c>
      <c r="B18" s="2">
        <v>45231</v>
      </c>
      <c r="C18" s="3">
        <v>0.67719907407407409</v>
      </c>
      <c r="D18" s="2">
        <v>45221</v>
      </c>
      <c r="E18" s="3">
        <v>0.45185185185185184</v>
      </c>
      <c r="F18" s="4" t="s">
        <v>39</v>
      </c>
      <c r="H18" s="17" t="str">
        <f t="shared" si="0"/>
        <v>Cliente016</v>
      </c>
      <c r="I18" s="18">
        <f t="shared" si="14"/>
        <v>20</v>
      </c>
      <c r="J18" s="19">
        <f t="shared" si="1"/>
        <v>10</v>
      </c>
      <c r="K18" s="20">
        <f t="shared" si="2"/>
        <v>2023</v>
      </c>
      <c r="L18" s="17">
        <f t="shared" si="3"/>
        <v>8</v>
      </c>
      <c r="M18" s="17">
        <f t="shared" si="4"/>
        <v>55</v>
      </c>
      <c r="N18" s="17">
        <f t="shared" si="5"/>
        <v>55</v>
      </c>
      <c r="O18" s="17">
        <f t="shared" si="6"/>
        <v>10</v>
      </c>
      <c r="P18" s="17">
        <f t="shared" si="7"/>
        <v>10</v>
      </c>
      <c r="Q18" s="17">
        <f t="shared" si="8"/>
        <v>2023</v>
      </c>
      <c r="R18" s="17">
        <f t="shared" si="9"/>
        <v>13</v>
      </c>
      <c r="S18" s="17">
        <f t="shared" si="10"/>
        <v>30</v>
      </c>
      <c r="T18" s="17">
        <f t="shared" si="11"/>
        <v>30</v>
      </c>
      <c r="U18" s="17">
        <f>B17-D17</f>
        <v>10</v>
      </c>
      <c r="V18" s="17">
        <f>NETWORKDAYS.INTL(D17,B17,1)</f>
        <v>9</v>
      </c>
      <c r="W18" s="24">
        <f>B17+V18</f>
        <v>45228</v>
      </c>
      <c r="X18" s="23">
        <f t="shared" si="12"/>
        <v>45219.372164351851</v>
      </c>
      <c r="Y18" s="22">
        <f t="shared" si="13"/>
        <v>45209.562847222223</v>
      </c>
    </row>
    <row r="19" spans="1:25" x14ac:dyDescent="0.2">
      <c r="A19" s="1" t="s">
        <v>40</v>
      </c>
      <c r="B19" s="2">
        <v>45245</v>
      </c>
      <c r="C19" s="3">
        <v>0.40277777777777779</v>
      </c>
      <c r="D19" s="2">
        <v>45235</v>
      </c>
      <c r="E19" s="3">
        <v>0.46609953703703705</v>
      </c>
      <c r="F19" s="4" t="s">
        <v>41</v>
      </c>
      <c r="H19" s="17" t="str">
        <f t="shared" si="0"/>
        <v>Cliente017</v>
      </c>
      <c r="I19" s="18">
        <f t="shared" si="14"/>
        <v>1</v>
      </c>
      <c r="J19" s="19">
        <f t="shared" si="1"/>
        <v>11</v>
      </c>
      <c r="K19" s="20">
        <f t="shared" si="2"/>
        <v>2023</v>
      </c>
      <c r="L19" s="17">
        <f t="shared" si="3"/>
        <v>16</v>
      </c>
      <c r="M19" s="17">
        <f t="shared" si="4"/>
        <v>15</v>
      </c>
      <c r="N19" s="17">
        <f t="shared" si="5"/>
        <v>10</v>
      </c>
      <c r="O19" s="17">
        <f t="shared" si="6"/>
        <v>22</v>
      </c>
      <c r="P19" s="17">
        <f t="shared" si="7"/>
        <v>10</v>
      </c>
      <c r="Q19" s="17">
        <f t="shared" si="8"/>
        <v>2023</v>
      </c>
      <c r="R19" s="17">
        <f t="shared" si="9"/>
        <v>10</v>
      </c>
      <c r="S19" s="17">
        <f t="shared" si="10"/>
        <v>50</v>
      </c>
      <c r="T19" s="17">
        <f t="shared" si="11"/>
        <v>40</v>
      </c>
      <c r="U19" s="17">
        <f>B18-D18</f>
        <v>10</v>
      </c>
      <c r="V19" s="17">
        <f>NETWORKDAYS.INTL(D18,B18,1)</f>
        <v>8</v>
      </c>
      <c r="W19" s="24">
        <f>B18+V19</f>
        <v>45239</v>
      </c>
      <c r="X19" s="23">
        <f t="shared" si="12"/>
        <v>45231.677199074074</v>
      </c>
      <c r="Y19" s="22">
        <f t="shared" si="13"/>
        <v>45221.451851851853</v>
      </c>
    </row>
    <row r="20" spans="1:25" x14ac:dyDescent="0.2">
      <c r="A20" s="1" t="s">
        <v>42</v>
      </c>
      <c r="B20" s="2">
        <v>45260</v>
      </c>
      <c r="C20" s="3">
        <v>0.60098379629629628</v>
      </c>
      <c r="D20" s="2">
        <v>45250</v>
      </c>
      <c r="E20" s="3">
        <v>0.66336805555555556</v>
      </c>
      <c r="F20" s="4" t="s">
        <v>43</v>
      </c>
      <c r="H20" s="17" t="str">
        <f t="shared" si="0"/>
        <v>Cliente018</v>
      </c>
      <c r="I20" s="18">
        <f t="shared" si="14"/>
        <v>15</v>
      </c>
      <c r="J20" s="19">
        <f t="shared" si="1"/>
        <v>11</v>
      </c>
      <c r="K20" s="20">
        <f t="shared" si="2"/>
        <v>2023</v>
      </c>
      <c r="L20" s="17">
        <f t="shared" si="3"/>
        <v>9</v>
      </c>
      <c r="M20" s="17">
        <f t="shared" si="4"/>
        <v>40</v>
      </c>
      <c r="N20" s="17">
        <f t="shared" si="5"/>
        <v>0</v>
      </c>
      <c r="O20" s="17">
        <f t="shared" si="6"/>
        <v>5</v>
      </c>
      <c r="P20" s="17">
        <f t="shared" si="7"/>
        <v>11</v>
      </c>
      <c r="Q20" s="17">
        <f t="shared" si="8"/>
        <v>2023</v>
      </c>
      <c r="R20" s="17">
        <f t="shared" si="9"/>
        <v>11</v>
      </c>
      <c r="S20" s="17">
        <f t="shared" si="10"/>
        <v>11</v>
      </c>
      <c r="T20" s="17">
        <f t="shared" si="11"/>
        <v>11</v>
      </c>
      <c r="U20" s="17">
        <f>B19-D19</f>
        <v>10</v>
      </c>
      <c r="V20" s="17">
        <f>NETWORKDAYS.INTL(D19,B19,1)</f>
        <v>8</v>
      </c>
      <c r="W20" s="24">
        <f>B19+V20</f>
        <v>45253</v>
      </c>
      <c r="X20" s="23">
        <f t="shared" si="12"/>
        <v>45245.402777777781</v>
      </c>
      <c r="Y20" s="22">
        <f t="shared" si="13"/>
        <v>45235.466099537036</v>
      </c>
    </row>
    <row r="21" spans="1:25" x14ac:dyDescent="0.2">
      <c r="A21" s="1" t="s">
        <v>44</v>
      </c>
      <c r="B21" s="2">
        <v>45270</v>
      </c>
      <c r="C21" s="3">
        <v>0.52329861111111109</v>
      </c>
      <c r="D21" s="2">
        <v>45258</v>
      </c>
      <c r="E21" s="3">
        <v>0.40606481481481482</v>
      </c>
      <c r="F21" s="4" t="s">
        <v>45</v>
      </c>
      <c r="H21" s="17" t="str">
        <f t="shared" si="0"/>
        <v>Cliente019</v>
      </c>
      <c r="I21" s="18">
        <f t="shared" si="14"/>
        <v>30</v>
      </c>
      <c r="J21" s="19">
        <f t="shared" si="1"/>
        <v>11</v>
      </c>
      <c r="K21" s="20">
        <f t="shared" si="2"/>
        <v>2023</v>
      </c>
      <c r="L21" s="17">
        <f t="shared" si="3"/>
        <v>14</v>
      </c>
      <c r="M21" s="17">
        <f t="shared" si="4"/>
        <v>25</v>
      </c>
      <c r="N21" s="17">
        <f t="shared" si="5"/>
        <v>25</v>
      </c>
      <c r="O21" s="17">
        <f t="shared" si="6"/>
        <v>20</v>
      </c>
      <c r="P21" s="17">
        <f t="shared" si="7"/>
        <v>11</v>
      </c>
      <c r="Q21" s="17">
        <f t="shared" si="8"/>
        <v>2023</v>
      </c>
      <c r="R21" s="17">
        <f t="shared" si="9"/>
        <v>15</v>
      </c>
      <c r="S21" s="17">
        <f t="shared" si="10"/>
        <v>55</v>
      </c>
      <c r="T21" s="17">
        <f t="shared" si="11"/>
        <v>15</v>
      </c>
      <c r="U21" s="17">
        <f>B20-D20</f>
        <v>10</v>
      </c>
      <c r="V21" s="17">
        <f>NETWORKDAYS.INTL(D20,B20,1)</f>
        <v>9</v>
      </c>
      <c r="W21" s="24">
        <f>B20+V21</f>
        <v>45269</v>
      </c>
      <c r="X21" s="23">
        <f t="shared" si="12"/>
        <v>45260.600983796299</v>
      </c>
      <c r="Y21" s="22">
        <f t="shared" si="13"/>
        <v>45250.663368055553</v>
      </c>
    </row>
    <row r="22" spans="1:25" x14ac:dyDescent="0.2">
      <c r="A22" s="1" t="s">
        <v>46</v>
      </c>
      <c r="B22" s="2">
        <v>44936</v>
      </c>
      <c r="C22" s="3">
        <v>0.46609953703703705</v>
      </c>
      <c r="D22" s="2">
        <v>44927</v>
      </c>
      <c r="E22" s="3">
        <v>0.33898148148148149</v>
      </c>
      <c r="F22" s="4" t="s">
        <v>47</v>
      </c>
      <c r="H22" s="17" t="str">
        <f t="shared" si="0"/>
        <v>Cliente020</v>
      </c>
      <c r="I22" s="18">
        <f t="shared" si="14"/>
        <v>10</v>
      </c>
      <c r="J22" s="19">
        <f t="shared" si="1"/>
        <v>12</v>
      </c>
      <c r="K22" s="20">
        <f t="shared" si="2"/>
        <v>2023</v>
      </c>
      <c r="L22" s="17">
        <f t="shared" si="3"/>
        <v>12</v>
      </c>
      <c r="M22" s="17">
        <f t="shared" si="4"/>
        <v>33</v>
      </c>
      <c r="N22" s="17">
        <f t="shared" si="5"/>
        <v>33</v>
      </c>
      <c r="O22" s="17">
        <f t="shared" si="6"/>
        <v>28</v>
      </c>
      <c r="P22" s="17">
        <f t="shared" si="7"/>
        <v>11</v>
      </c>
      <c r="Q22" s="17">
        <f t="shared" si="8"/>
        <v>2023</v>
      </c>
      <c r="R22" s="17">
        <f t="shared" si="9"/>
        <v>9</v>
      </c>
      <c r="S22" s="17">
        <f t="shared" si="10"/>
        <v>44</v>
      </c>
      <c r="T22" s="17">
        <f t="shared" si="11"/>
        <v>44</v>
      </c>
      <c r="U22" s="17">
        <f>B21-D21</f>
        <v>12</v>
      </c>
      <c r="V22" s="17">
        <f>NETWORKDAYS.INTL(D21,B21,1)</f>
        <v>9</v>
      </c>
      <c r="W22" s="24">
        <f>B21+V22</f>
        <v>45279</v>
      </c>
      <c r="X22" s="23">
        <f t="shared" si="12"/>
        <v>45270.523298611108</v>
      </c>
      <c r="Y22" s="22">
        <f t="shared" si="13"/>
        <v>45258.406064814815</v>
      </c>
    </row>
    <row r="23" spans="1:25" x14ac:dyDescent="0.2">
      <c r="A23" s="1" t="s">
        <v>48</v>
      </c>
      <c r="B23" s="2">
        <v>44951</v>
      </c>
      <c r="C23" s="3">
        <v>0.55084490740740744</v>
      </c>
      <c r="D23" s="2">
        <v>44941</v>
      </c>
      <c r="E23" s="3">
        <v>0.29660879629629627</v>
      </c>
      <c r="F23" s="4" t="s">
        <v>49</v>
      </c>
      <c r="H23" s="17" t="str">
        <f t="shared" si="0"/>
        <v>Cliente021</v>
      </c>
      <c r="I23" s="18">
        <f t="shared" si="14"/>
        <v>10</v>
      </c>
      <c r="J23" s="19">
        <f t="shared" si="1"/>
        <v>1</v>
      </c>
      <c r="K23" s="20">
        <f t="shared" si="2"/>
        <v>2023</v>
      </c>
      <c r="L23" s="17">
        <f t="shared" si="3"/>
        <v>11</v>
      </c>
      <c r="M23" s="17">
        <f t="shared" si="4"/>
        <v>11</v>
      </c>
      <c r="N23" s="17">
        <f t="shared" si="5"/>
        <v>11</v>
      </c>
      <c r="O23" s="17">
        <f t="shared" si="6"/>
        <v>1</v>
      </c>
      <c r="P23" s="17">
        <f t="shared" si="7"/>
        <v>1</v>
      </c>
      <c r="Q23" s="17">
        <f t="shared" si="8"/>
        <v>2023</v>
      </c>
      <c r="R23" s="17">
        <f t="shared" si="9"/>
        <v>8</v>
      </c>
      <c r="S23" s="17">
        <f t="shared" si="10"/>
        <v>8</v>
      </c>
      <c r="T23" s="17">
        <f t="shared" si="11"/>
        <v>8</v>
      </c>
      <c r="U23" s="17">
        <f>B22-D22</f>
        <v>9</v>
      </c>
      <c r="V23" s="17">
        <f>NETWORKDAYS.INTL(D22,B22,1)</f>
        <v>7</v>
      </c>
      <c r="W23" s="24">
        <f>B22+V23</f>
        <v>44943</v>
      </c>
      <c r="X23" s="23">
        <f t="shared" si="12"/>
        <v>44936.466099537036</v>
      </c>
      <c r="Y23" s="22">
        <f t="shared" si="13"/>
        <v>44927.33898148148</v>
      </c>
    </row>
    <row r="24" spans="1:25" x14ac:dyDescent="0.2">
      <c r="A24" s="1" t="s">
        <v>50</v>
      </c>
      <c r="B24" s="2">
        <v>44962</v>
      </c>
      <c r="C24" s="3">
        <v>0.59321759259259255</v>
      </c>
      <c r="D24" s="2">
        <v>44951</v>
      </c>
      <c r="E24" s="3">
        <v>0.50847222222222221</v>
      </c>
      <c r="F24" s="4" t="s">
        <v>51</v>
      </c>
      <c r="H24" s="17" t="str">
        <f t="shared" si="0"/>
        <v>Cliente022</v>
      </c>
      <c r="I24" s="18">
        <f t="shared" si="14"/>
        <v>25</v>
      </c>
      <c r="J24" s="19">
        <f t="shared" si="1"/>
        <v>1</v>
      </c>
      <c r="K24" s="20">
        <f t="shared" si="2"/>
        <v>2023</v>
      </c>
      <c r="L24" s="17">
        <f t="shared" si="3"/>
        <v>13</v>
      </c>
      <c r="M24" s="17">
        <f t="shared" si="4"/>
        <v>13</v>
      </c>
      <c r="N24" s="17">
        <f t="shared" si="5"/>
        <v>13</v>
      </c>
      <c r="O24" s="17">
        <f t="shared" si="6"/>
        <v>15</v>
      </c>
      <c r="P24" s="17">
        <f t="shared" si="7"/>
        <v>1</v>
      </c>
      <c r="Q24" s="17">
        <f t="shared" si="8"/>
        <v>2023</v>
      </c>
      <c r="R24" s="17">
        <f t="shared" si="9"/>
        <v>7</v>
      </c>
      <c r="S24" s="17">
        <f t="shared" si="10"/>
        <v>7</v>
      </c>
      <c r="T24" s="17">
        <f t="shared" si="11"/>
        <v>7</v>
      </c>
      <c r="U24" s="17">
        <f>B23-D23</f>
        <v>10</v>
      </c>
      <c r="V24" s="17">
        <f>NETWORKDAYS.INTL(D23,B23,1)</f>
        <v>8</v>
      </c>
      <c r="W24" s="24">
        <f>B23+V24</f>
        <v>44959</v>
      </c>
      <c r="X24" s="23">
        <f t="shared" si="12"/>
        <v>44951.550844907404</v>
      </c>
      <c r="Y24" s="22">
        <f t="shared" si="13"/>
        <v>44941.2966087963</v>
      </c>
    </row>
    <row r="25" spans="1:25" x14ac:dyDescent="0.2">
      <c r="A25" s="1" t="s">
        <v>52</v>
      </c>
      <c r="B25" s="2">
        <v>44977</v>
      </c>
      <c r="C25" s="3">
        <v>0.63559027777777777</v>
      </c>
      <c r="D25" s="2">
        <v>44967</v>
      </c>
      <c r="E25" s="3">
        <v>0.42372685185185183</v>
      </c>
      <c r="F25" s="4" t="s">
        <v>53</v>
      </c>
      <c r="H25" s="17" t="str">
        <f t="shared" si="0"/>
        <v>Cliente023</v>
      </c>
      <c r="I25" s="18">
        <f t="shared" si="14"/>
        <v>5</v>
      </c>
      <c r="J25" s="19">
        <f t="shared" si="1"/>
        <v>2</v>
      </c>
      <c r="K25" s="20">
        <f t="shared" si="2"/>
        <v>2023</v>
      </c>
      <c r="L25" s="17">
        <f t="shared" si="3"/>
        <v>14</v>
      </c>
      <c r="M25" s="17">
        <f t="shared" si="4"/>
        <v>14</v>
      </c>
      <c r="N25" s="17">
        <f t="shared" si="5"/>
        <v>14</v>
      </c>
      <c r="O25" s="17">
        <f t="shared" si="6"/>
        <v>25</v>
      </c>
      <c r="P25" s="17">
        <f t="shared" si="7"/>
        <v>1</v>
      </c>
      <c r="Q25" s="17">
        <f t="shared" si="8"/>
        <v>2023</v>
      </c>
      <c r="R25" s="17">
        <f t="shared" si="9"/>
        <v>12</v>
      </c>
      <c r="S25" s="17">
        <f t="shared" si="10"/>
        <v>12</v>
      </c>
      <c r="T25" s="17">
        <f t="shared" si="11"/>
        <v>12</v>
      </c>
      <c r="U25" s="17">
        <f>B24-D24</f>
        <v>11</v>
      </c>
      <c r="V25" s="17">
        <f>NETWORKDAYS.INTL(D24,B24,1)</f>
        <v>8</v>
      </c>
      <c r="W25" s="24">
        <f>B24+V25</f>
        <v>44970</v>
      </c>
      <c r="X25" s="23">
        <f t="shared" si="12"/>
        <v>44962.593217592592</v>
      </c>
      <c r="Y25" s="22">
        <f t="shared" si="13"/>
        <v>44951.508472222224</v>
      </c>
    </row>
    <row r="26" spans="1:25" x14ac:dyDescent="0.2">
      <c r="A26" s="1" t="s">
        <v>54</v>
      </c>
      <c r="B26" s="2">
        <v>44995</v>
      </c>
      <c r="C26" s="3">
        <v>0.42372685185185183</v>
      </c>
      <c r="D26" s="2">
        <v>44985</v>
      </c>
      <c r="E26" s="3">
        <v>0.67796296296296299</v>
      </c>
      <c r="F26" s="4" t="s">
        <v>15</v>
      </c>
      <c r="H26" s="17" t="str">
        <f t="shared" si="0"/>
        <v>Cliente024</v>
      </c>
      <c r="I26" s="18">
        <f t="shared" si="14"/>
        <v>20</v>
      </c>
      <c r="J26" s="19">
        <f t="shared" si="1"/>
        <v>2</v>
      </c>
      <c r="K26" s="20">
        <f t="shared" si="2"/>
        <v>2023</v>
      </c>
      <c r="L26" s="17">
        <f t="shared" si="3"/>
        <v>15</v>
      </c>
      <c r="M26" s="17">
        <f t="shared" si="4"/>
        <v>15</v>
      </c>
      <c r="N26" s="17">
        <f t="shared" si="5"/>
        <v>15</v>
      </c>
      <c r="O26" s="17">
        <f t="shared" si="6"/>
        <v>10</v>
      </c>
      <c r="P26" s="17">
        <f t="shared" si="7"/>
        <v>2</v>
      </c>
      <c r="Q26" s="17">
        <f t="shared" si="8"/>
        <v>2023</v>
      </c>
      <c r="R26" s="17">
        <f t="shared" si="9"/>
        <v>10</v>
      </c>
      <c r="S26" s="17">
        <f t="shared" si="10"/>
        <v>10</v>
      </c>
      <c r="T26" s="17">
        <f t="shared" si="11"/>
        <v>10</v>
      </c>
      <c r="U26" s="17">
        <f>B25-D25</f>
        <v>10</v>
      </c>
      <c r="V26" s="17">
        <f>NETWORKDAYS.INTL(D25,B25,1)</f>
        <v>7</v>
      </c>
      <c r="W26" s="24">
        <f>B25+V26</f>
        <v>44984</v>
      </c>
      <c r="X26" s="23">
        <f t="shared" si="12"/>
        <v>44977.63559027778</v>
      </c>
      <c r="Y26" s="22">
        <f t="shared" si="13"/>
        <v>44967.423726851855</v>
      </c>
    </row>
    <row r="27" spans="1:25" x14ac:dyDescent="0.2">
      <c r="A27" s="1" t="s">
        <v>55</v>
      </c>
      <c r="B27" s="2">
        <v>45010</v>
      </c>
      <c r="C27" s="3">
        <v>0.46609953703703705</v>
      </c>
      <c r="D27" s="2">
        <v>45000</v>
      </c>
      <c r="E27" s="3">
        <v>0.55084490740740744</v>
      </c>
      <c r="F27" s="4" t="s">
        <v>17</v>
      </c>
      <c r="H27" s="17" t="str">
        <f t="shared" si="0"/>
        <v>Cliente025</v>
      </c>
      <c r="I27" s="18">
        <f t="shared" si="14"/>
        <v>10</v>
      </c>
      <c r="J27" s="19">
        <f t="shared" si="1"/>
        <v>3</v>
      </c>
      <c r="K27" s="20">
        <f t="shared" si="2"/>
        <v>2023</v>
      </c>
      <c r="L27" s="17">
        <f t="shared" si="3"/>
        <v>10</v>
      </c>
      <c r="M27" s="17">
        <f t="shared" si="4"/>
        <v>10</v>
      </c>
      <c r="N27" s="17">
        <f t="shared" si="5"/>
        <v>10</v>
      </c>
      <c r="O27" s="17">
        <f t="shared" si="6"/>
        <v>28</v>
      </c>
      <c r="P27" s="17">
        <f t="shared" si="7"/>
        <v>2</v>
      </c>
      <c r="Q27" s="17">
        <f t="shared" si="8"/>
        <v>2023</v>
      </c>
      <c r="R27" s="17">
        <f t="shared" si="9"/>
        <v>16</v>
      </c>
      <c r="S27" s="17">
        <f t="shared" si="10"/>
        <v>16</v>
      </c>
      <c r="T27" s="17">
        <f t="shared" si="11"/>
        <v>16</v>
      </c>
      <c r="U27" s="17">
        <f>B26-D26</f>
        <v>10</v>
      </c>
      <c r="V27" s="17">
        <f>NETWORKDAYS.INTL(D26,B26,1)</f>
        <v>9</v>
      </c>
      <c r="W27" s="24">
        <f>B26+V27</f>
        <v>45004</v>
      </c>
      <c r="X27" s="23">
        <f t="shared" si="12"/>
        <v>44995.423726851855</v>
      </c>
      <c r="Y27" s="22">
        <f t="shared" si="13"/>
        <v>44985.67796296296</v>
      </c>
    </row>
    <row r="28" spans="1:25" x14ac:dyDescent="0.2">
      <c r="A28" s="1" t="s">
        <v>56</v>
      </c>
      <c r="B28" s="2">
        <v>45021</v>
      </c>
      <c r="C28" s="3">
        <v>0.38135416666666666</v>
      </c>
      <c r="D28" s="2">
        <v>45010</v>
      </c>
      <c r="E28" s="3">
        <v>0.33898148148148149</v>
      </c>
      <c r="F28" s="4" t="s">
        <v>57</v>
      </c>
      <c r="H28" s="17" t="str">
        <f t="shared" si="0"/>
        <v>Cliente026</v>
      </c>
      <c r="I28" s="18">
        <f t="shared" si="14"/>
        <v>25</v>
      </c>
      <c r="J28" s="19">
        <f t="shared" si="1"/>
        <v>3</v>
      </c>
      <c r="K28" s="20">
        <f t="shared" si="2"/>
        <v>2023</v>
      </c>
      <c r="L28" s="17">
        <f t="shared" si="3"/>
        <v>11</v>
      </c>
      <c r="M28" s="17">
        <f t="shared" si="4"/>
        <v>11</v>
      </c>
      <c r="N28" s="17">
        <f t="shared" si="5"/>
        <v>11</v>
      </c>
      <c r="O28" s="17">
        <f t="shared" si="6"/>
        <v>15</v>
      </c>
      <c r="P28" s="17">
        <f t="shared" si="7"/>
        <v>3</v>
      </c>
      <c r="Q28" s="17">
        <f t="shared" si="8"/>
        <v>2023</v>
      </c>
      <c r="R28" s="17">
        <f t="shared" si="9"/>
        <v>13</v>
      </c>
      <c r="S28" s="17">
        <f t="shared" si="10"/>
        <v>13</v>
      </c>
      <c r="T28" s="17">
        <f t="shared" si="11"/>
        <v>13</v>
      </c>
      <c r="U28" s="17">
        <f>B27-D27</f>
        <v>10</v>
      </c>
      <c r="V28" s="17">
        <f>NETWORKDAYS.INTL(D27,B27,1)</f>
        <v>8</v>
      </c>
      <c r="W28" s="24">
        <f>B27+V28</f>
        <v>45018</v>
      </c>
      <c r="X28" s="23">
        <f t="shared" si="12"/>
        <v>45010.466099537036</v>
      </c>
      <c r="Y28" s="22">
        <f t="shared" si="13"/>
        <v>45000.550844907404</v>
      </c>
    </row>
    <row r="29" spans="1:25" x14ac:dyDescent="0.2">
      <c r="A29" s="1" t="s">
        <v>58</v>
      </c>
      <c r="B29" s="2">
        <v>45036</v>
      </c>
      <c r="C29" s="3">
        <v>0.33898148148148149</v>
      </c>
      <c r="D29" s="2">
        <v>45026</v>
      </c>
      <c r="E29" s="3">
        <v>0.59321759259259255</v>
      </c>
      <c r="F29" s="4" t="s">
        <v>59</v>
      </c>
      <c r="H29" s="17" t="str">
        <f t="shared" si="0"/>
        <v>Cliente027</v>
      </c>
      <c r="I29" s="18">
        <f t="shared" si="14"/>
        <v>5</v>
      </c>
      <c r="J29" s="19">
        <f t="shared" si="1"/>
        <v>4</v>
      </c>
      <c r="K29" s="20">
        <f t="shared" si="2"/>
        <v>2023</v>
      </c>
      <c r="L29" s="17">
        <f t="shared" si="3"/>
        <v>9</v>
      </c>
      <c r="M29" s="17">
        <f t="shared" si="4"/>
        <v>9</v>
      </c>
      <c r="N29" s="17">
        <f t="shared" si="5"/>
        <v>9</v>
      </c>
      <c r="O29" s="17">
        <f t="shared" si="6"/>
        <v>25</v>
      </c>
      <c r="P29" s="17">
        <f t="shared" si="7"/>
        <v>3</v>
      </c>
      <c r="Q29" s="17">
        <f t="shared" si="8"/>
        <v>2023</v>
      </c>
      <c r="R29" s="17">
        <f t="shared" si="9"/>
        <v>8</v>
      </c>
      <c r="S29" s="17">
        <f t="shared" si="10"/>
        <v>8</v>
      </c>
      <c r="T29" s="17">
        <f t="shared" si="11"/>
        <v>8</v>
      </c>
      <c r="U29" s="17">
        <f>B28-D28</f>
        <v>11</v>
      </c>
      <c r="V29" s="17">
        <f>NETWORKDAYS.INTL(D28,B28,1)</f>
        <v>8</v>
      </c>
      <c r="W29" s="24">
        <f>B28+V29</f>
        <v>45029</v>
      </c>
      <c r="X29" s="23">
        <f t="shared" si="12"/>
        <v>45021.381354166668</v>
      </c>
      <c r="Y29" s="22">
        <f t="shared" si="13"/>
        <v>45010.33898148148</v>
      </c>
    </row>
    <row r="30" spans="1:25" x14ac:dyDescent="0.2">
      <c r="A30" s="1" t="s">
        <v>60</v>
      </c>
      <c r="B30" s="2">
        <v>45047</v>
      </c>
      <c r="C30" s="3">
        <v>0.50847222222222221</v>
      </c>
      <c r="D30" s="2">
        <v>45036</v>
      </c>
      <c r="E30" s="3">
        <v>0.46609953703703705</v>
      </c>
      <c r="F30" s="4" t="s">
        <v>61</v>
      </c>
      <c r="H30" s="17" t="str">
        <f t="shared" si="0"/>
        <v>Cliente028</v>
      </c>
      <c r="I30" s="18">
        <f t="shared" si="14"/>
        <v>20</v>
      </c>
      <c r="J30" s="19">
        <f t="shared" si="1"/>
        <v>4</v>
      </c>
      <c r="K30" s="20">
        <f t="shared" si="2"/>
        <v>2023</v>
      </c>
      <c r="L30" s="17">
        <f t="shared" si="3"/>
        <v>8</v>
      </c>
      <c r="M30" s="17">
        <f t="shared" si="4"/>
        <v>8</v>
      </c>
      <c r="N30" s="17">
        <f t="shared" si="5"/>
        <v>8</v>
      </c>
      <c r="O30" s="17">
        <f t="shared" si="6"/>
        <v>10</v>
      </c>
      <c r="P30" s="17">
        <f t="shared" si="7"/>
        <v>4</v>
      </c>
      <c r="Q30" s="17">
        <f t="shared" si="8"/>
        <v>2023</v>
      </c>
      <c r="R30" s="17">
        <f t="shared" si="9"/>
        <v>14</v>
      </c>
      <c r="S30" s="17">
        <f t="shared" si="10"/>
        <v>14</v>
      </c>
      <c r="T30" s="17">
        <f t="shared" si="11"/>
        <v>14</v>
      </c>
      <c r="U30" s="17">
        <f>B29-D29</f>
        <v>10</v>
      </c>
      <c r="V30" s="17">
        <f>NETWORKDAYS.INTL(D29,B29,1)</f>
        <v>9</v>
      </c>
      <c r="W30" s="24">
        <f>B29+V30</f>
        <v>45045</v>
      </c>
      <c r="X30" s="23">
        <f t="shared" si="12"/>
        <v>45036.33898148148</v>
      </c>
      <c r="Y30" s="22">
        <f t="shared" si="13"/>
        <v>45026.593217592592</v>
      </c>
    </row>
    <row r="31" spans="1:25" x14ac:dyDescent="0.2">
      <c r="A31" s="1" t="s">
        <v>62</v>
      </c>
      <c r="B31" s="2">
        <v>45061</v>
      </c>
      <c r="C31" s="3">
        <v>0.55084490740740744</v>
      </c>
      <c r="D31" s="2">
        <v>45051</v>
      </c>
      <c r="E31" s="3">
        <v>0.38135416666666666</v>
      </c>
      <c r="F31" s="4" t="s">
        <v>63</v>
      </c>
      <c r="H31" s="17" t="str">
        <f t="shared" si="0"/>
        <v>Cliente029</v>
      </c>
      <c r="I31" s="18">
        <f t="shared" si="14"/>
        <v>1</v>
      </c>
      <c r="J31" s="19">
        <f t="shared" si="1"/>
        <v>5</v>
      </c>
      <c r="K31" s="20">
        <f t="shared" si="2"/>
        <v>2023</v>
      </c>
      <c r="L31" s="17">
        <f t="shared" si="3"/>
        <v>12</v>
      </c>
      <c r="M31" s="17">
        <f t="shared" si="4"/>
        <v>12</v>
      </c>
      <c r="N31" s="17">
        <f t="shared" si="5"/>
        <v>12</v>
      </c>
      <c r="O31" s="17">
        <f t="shared" si="6"/>
        <v>20</v>
      </c>
      <c r="P31" s="17">
        <f t="shared" si="7"/>
        <v>4</v>
      </c>
      <c r="Q31" s="17">
        <f t="shared" si="8"/>
        <v>2023</v>
      </c>
      <c r="R31" s="17">
        <f t="shared" si="9"/>
        <v>11</v>
      </c>
      <c r="S31" s="17">
        <f t="shared" si="10"/>
        <v>11</v>
      </c>
      <c r="T31" s="17">
        <f t="shared" si="11"/>
        <v>11</v>
      </c>
      <c r="U31" s="17">
        <f>B30-D30</f>
        <v>11</v>
      </c>
      <c r="V31" s="17">
        <f>NETWORKDAYS.INTL(D30,B30,1)</f>
        <v>8</v>
      </c>
      <c r="W31" s="24">
        <f>B30+V31</f>
        <v>45055</v>
      </c>
      <c r="X31" s="23">
        <f t="shared" si="12"/>
        <v>45047.508472222224</v>
      </c>
      <c r="Y31" s="22">
        <f t="shared" si="13"/>
        <v>45036.466099537036</v>
      </c>
    </row>
    <row r="32" spans="1:25" x14ac:dyDescent="0.2">
      <c r="A32" s="1" t="s">
        <v>64</v>
      </c>
      <c r="B32" s="2">
        <v>45087</v>
      </c>
      <c r="C32" s="3">
        <v>0.59321759259259255</v>
      </c>
      <c r="D32" s="2">
        <v>45076</v>
      </c>
      <c r="E32" s="3">
        <v>0.42372685185185183</v>
      </c>
      <c r="F32" s="4" t="s">
        <v>65</v>
      </c>
      <c r="H32" s="17" t="str">
        <f t="shared" si="0"/>
        <v>Cliente030</v>
      </c>
      <c r="I32" s="18">
        <f t="shared" si="14"/>
        <v>15</v>
      </c>
      <c r="J32" s="19">
        <f t="shared" si="1"/>
        <v>5</v>
      </c>
      <c r="K32" s="20">
        <f t="shared" si="2"/>
        <v>2023</v>
      </c>
      <c r="L32" s="17">
        <f t="shared" si="3"/>
        <v>13</v>
      </c>
      <c r="M32" s="17">
        <f t="shared" si="4"/>
        <v>13</v>
      </c>
      <c r="N32" s="17">
        <f t="shared" si="5"/>
        <v>13</v>
      </c>
      <c r="O32" s="17">
        <f t="shared" si="6"/>
        <v>5</v>
      </c>
      <c r="P32" s="17">
        <f t="shared" si="7"/>
        <v>5</v>
      </c>
      <c r="Q32" s="17">
        <f t="shared" si="8"/>
        <v>2023</v>
      </c>
      <c r="R32" s="17">
        <f t="shared" si="9"/>
        <v>9</v>
      </c>
      <c r="S32" s="17">
        <f t="shared" si="10"/>
        <v>9</v>
      </c>
      <c r="T32" s="17">
        <f t="shared" si="11"/>
        <v>9</v>
      </c>
      <c r="U32" s="17">
        <f>B31-D31</f>
        <v>10</v>
      </c>
      <c r="V32" s="17">
        <f>NETWORKDAYS.INTL(D31,B31,1)</f>
        <v>7</v>
      </c>
      <c r="W32" s="24">
        <f>B31+V32</f>
        <v>45068</v>
      </c>
      <c r="X32" s="23">
        <f t="shared" si="12"/>
        <v>45061.550844907404</v>
      </c>
      <c r="Y32" s="22">
        <f t="shared" si="13"/>
        <v>45051.381354166668</v>
      </c>
    </row>
    <row r="33" spans="1:25" x14ac:dyDescent="0.2">
      <c r="A33" s="1" t="s">
        <v>66</v>
      </c>
      <c r="B33" s="2">
        <v>45102</v>
      </c>
      <c r="C33" s="3">
        <v>0.63559027777777777</v>
      </c>
      <c r="D33" s="2">
        <v>45092</v>
      </c>
      <c r="E33" s="3">
        <v>0.67796296296296299</v>
      </c>
      <c r="F33" s="4" t="s">
        <v>67</v>
      </c>
      <c r="H33" s="17" t="str">
        <f t="shared" si="0"/>
        <v>Cliente031</v>
      </c>
      <c r="I33" s="18">
        <f t="shared" si="14"/>
        <v>10</v>
      </c>
      <c r="J33" s="19">
        <f t="shared" si="1"/>
        <v>6</v>
      </c>
      <c r="K33" s="20">
        <f t="shared" si="2"/>
        <v>2023</v>
      </c>
      <c r="L33" s="17">
        <f t="shared" si="3"/>
        <v>14</v>
      </c>
      <c r="M33" s="17">
        <f t="shared" si="4"/>
        <v>14</v>
      </c>
      <c r="N33" s="17">
        <f t="shared" si="5"/>
        <v>14</v>
      </c>
      <c r="O33" s="17">
        <f t="shared" si="6"/>
        <v>30</v>
      </c>
      <c r="P33" s="17">
        <f t="shared" si="7"/>
        <v>5</v>
      </c>
      <c r="Q33" s="17">
        <f t="shared" si="8"/>
        <v>2023</v>
      </c>
      <c r="R33" s="17">
        <f t="shared" si="9"/>
        <v>10</v>
      </c>
      <c r="S33" s="17">
        <f t="shared" si="10"/>
        <v>10</v>
      </c>
      <c r="T33" s="17">
        <f t="shared" si="11"/>
        <v>10</v>
      </c>
      <c r="U33" s="17">
        <f>B32-D32</f>
        <v>11</v>
      </c>
      <c r="V33" s="17">
        <f>NETWORKDAYS.INTL(D32,B32,1)</f>
        <v>9</v>
      </c>
      <c r="W33" s="24">
        <f>B32+V33</f>
        <v>45096</v>
      </c>
      <c r="X33" s="23">
        <f t="shared" si="12"/>
        <v>45087.593217592592</v>
      </c>
      <c r="Y33" s="22">
        <f t="shared" si="13"/>
        <v>45076.423726851855</v>
      </c>
    </row>
    <row r="34" spans="1:25" x14ac:dyDescent="0.2">
      <c r="A34" s="1" t="s">
        <v>68</v>
      </c>
      <c r="B34" s="2">
        <v>45112</v>
      </c>
      <c r="C34" s="3">
        <v>0.67796296296296299</v>
      </c>
      <c r="D34" s="2">
        <v>45102</v>
      </c>
      <c r="E34" s="3">
        <v>0.50847222222222221</v>
      </c>
      <c r="F34" s="4" t="s">
        <v>69</v>
      </c>
      <c r="H34" s="17" t="str">
        <f t="shared" si="0"/>
        <v>Cliente032</v>
      </c>
      <c r="I34" s="18">
        <f t="shared" si="14"/>
        <v>25</v>
      </c>
      <c r="J34" s="19">
        <f t="shared" si="1"/>
        <v>6</v>
      </c>
      <c r="K34" s="20">
        <f t="shared" si="2"/>
        <v>2023</v>
      </c>
      <c r="L34" s="17">
        <f t="shared" si="3"/>
        <v>15</v>
      </c>
      <c r="M34" s="17">
        <f t="shared" si="4"/>
        <v>15</v>
      </c>
      <c r="N34" s="17">
        <f t="shared" si="5"/>
        <v>15</v>
      </c>
      <c r="O34" s="17">
        <f t="shared" si="6"/>
        <v>15</v>
      </c>
      <c r="P34" s="17">
        <f t="shared" si="7"/>
        <v>6</v>
      </c>
      <c r="Q34" s="17">
        <f t="shared" si="8"/>
        <v>2023</v>
      </c>
      <c r="R34" s="17">
        <f t="shared" si="9"/>
        <v>16</v>
      </c>
      <c r="S34" s="17">
        <f t="shared" si="10"/>
        <v>16</v>
      </c>
      <c r="T34" s="17">
        <f t="shared" si="11"/>
        <v>16</v>
      </c>
      <c r="U34" s="17">
        <f>B33-D33</f>
        <v>10</v>
      </c>
      <c r="V34" s="17">
        <f>NETWORKDAYS.INTL(D33,B33,1)</f>
        <v>7</v>
      </c>
      <c r="W34" s="24">
        <f>B33+V34</f>
        <v>45109</v>
      </c>
      <c r="X34" s="23">
        <f t="shared" si="12"/>
        <v>45102.63559027778</v>
      </c>
      <c r="Y34" s="22">
        <f t="shared" si="13"/>
        <v>45092.67796296296</v>
      </c>
    </row>
    <row r="35" spans="1:25" x14ac:dyDescent="0.2">
      <c r="A35" s="1" t="s">
        <v>70</v>
      </c>
      <c r="B35" s="2">
        <v>45127</v>
      </c>
      <c r="C35" s="3">
        <v>0.42372685185185183</v>
      </c>
      <c r="D35" s="2">
        <v>45117</v>
      </c>
      <c r="E35" s="3">
        <v>0.59321759259259255</v>
      </c>
      <c r="F35" s="4" t="s">
        <v>71</v>
      </c>
      <c r="H35" s="17" t="str">
        <f t="shared" si="0"/>
        <v>Cliente033</v>
      </c>
      <c r="I35" s="18">
        <f t="shared" si="14"/>
        <v>5</v>
      </c>
      <c r="J35" s="19">
        <f t="shared" si="1"/>
        <v>7</v>
      </c>
      <c r="K35" s="20">
        <f t="shared" si="2"/>
        <v>2023</v>
      </c>
      <c r="L35" s="17">
        <f t="shared" si="3"/>
        <v>16</v>
      </c>
      <c r="M35" s="17">
        <f t="shared" si="4"/>
        <v>16</v>
      </c>
      <c r="N35" s="17">
        <f t="shared" si="5"/>
        <v>16</v>
      </c>
      <c r="O35" s="17">
        <f t="shared" si="6"/>
        <v>25</v>
      </c>
      <c r="P35" s="17">
        <f t="shared" si="7"/>
        <v>6</v>
      </c>
      <c r="Q35" s="17">
        <f t="shared" si="8"/>
        <v>2023</v>
      </c>
      <c r="R35" s="17">
        <f t="shared" si="9"/>
        <v>12</v>
      </c>
      <c r="S35" s="17">
        <f t="shared" si="10"/>
        <v>12</v>
      </c>
      <c r="T35" s="17">
        <f t="shared" si="11"/>
        <v>12</v>
      </c>
      <c r="U35" s="17">
        <f>B34-D34</f>
        <v>10</v>
      </c>
      <c r="V35" s="17">
        <f>NETWORKDAYS.INTL(D34,B34,1)</f>
        <v>8</v>
      </c>
      <c r="W35" s="24">
        <f>B34+V35</f>
        <v>45120</v>
      </c>
      <c r="X35" s="23">
        <f t="shared" si="12"/>
        <v>45112.67796296296</v>
      </c>
      <c r="Y35" s="22">
        <f t="shared" si="13"/>
        <v>45102.508472222224</v>
      </c>
    </row>
    <row r="36" spans="1:25" x14ac:dyDescent="0.2">
      <c r="A36" s="1" t="s">
        <v>72</v>
      </c>
      <c r="B36" s="2">
        <v>45139</v>
      </c>
      <c r="C36" s="3">
        <v>0.38135416666666666</v>
      </c>
      <c r="D36" s="2">
        <v>45127</v>
      </c>
      <c r="E36" s="3">
        <v>0.63559027777777777</v>
      </c>
      <c r="F36" s="4" t="s">
        <v>73</v>
      </c>
      <c r="H36" s="17" t="str">
        <f t="shared" si="0"/>
        <v>Cliente034</v>
      </c>
      <c r="I36" s="18">
        <f t="shared" si="14"/>
        <v>20</v>
      </c>
      <c r="J36" s="19">
        <f t="shared" si="1"/>
        <v>7</v>
      </c>
      <c r="K36" s="20">
        <f t="shared" si="2"/>
        <v>2023</v>
      </c>
      <c r="L36" s="17">
        <f t="shared" si="3"/>
        <v>10</v>
      </c>
      <c r="M36" s="17">
        <f t="shared" si="4"/>
        <v>10</v>
      </c>
      <c r="N36" s="17">
        <f t="shared" si="5"/>
        <v>10</v>
      </c>
      <c r="O36" s="17">
        <f t="shared" si="6"/>
        <v>10</v>
      </c>
      <c r="P36" s="17">
        <f t="shared" si="7"/>
        <v>7</v>
      </c>
      <c r="Q36" s="17">
        <f t="shared" si="8"/>
        <v>2023</v>
      </c>
      <c r="R36" s="17">
        <f t="shared" si="9"/>
        <v>14</v>
      </c>
      <c r="S36" s="17">
        <f t="shared" si="10"/>
        <v>14</v>
      </c>
      <c r="T36" s="17">
        <f t="shared" si="11"/>
        <v>14</v>
      </c>
      <c r="U36" s="17">
        <f>B35-D35</f>
        <v>10</v>
      </c>
      <c r="V36" s="17">
        <f>NETWORKDAYS.INTL(D35,B35,1)</f>
        <v>9</v>
      </c>
      <c r="W36" s="24">
        <f>B35+V36</f>
        <v>45136</v>
      </c>
      <c r="X36" s="23">
        <f t="shared" si="12"/>
        <v>45127.423726851855</v>
      </c>
      <c r="Y36" s="22">
        <f t="shared" si="13"/>
        <v>45117.593217592592</v>
      </c>
    </row>
    <row r="37" spans="1:25" x14ac:dyDescent="0.2">
      <c r="A37" s="1" t="s">
        <v>74</v>
      </c>
      <c r="B37" s="2">
        <v>45153</v>
      </c>
      <c r="C37" s="3">
        <v>0.33898148148148149</v>
      </c>
      <c r="D37" s="2">
        <v>45143</v>
      </c>
      <c r="E37" s="3">
        <v>0.42372685185185183</v>
      </c>
      <c r="F37" s="4" t="s">
        <v>51</v>
      </c>
      <c r="H37" s="17" t="str">
        <f t="shared" si="0"/>
        <v>Cliente035</v>
      </c>
      <c r="I37" s="18">
        <f t="shared" si="14"/>
        <v>1</v>
      </c>
      <c r="J37" s="19">
        <f t="shared" si="1"/>
        <v>8</v>
      </c>
      <c r="K37" s="20">
        <f t="shared" si="2"/>
        <v>2023</v>
      </c>
      <c r="L37" s="17">
        <f t="shared" si="3"/>
        <v>9</v>
      </c>
      <c r="M37" s="17">
        <f t="shared" si="4"/>
        <v>9</v>
      </c>
      <c r="N37" s="17">
        <f t="shared" si="5"/>
        <v>9</v>
      </c>
      <c r="O37" s="17">
        <f t="shared" si="6"/>
        <v>20</v>
      </c>
      <c r="P37" s="17">
        <f t="shared" si="7"/>
        <v>7</v>
      </c>
      <c r="Q37" s="17">
        <f t="shared" si="8"/>
        <v>2023</v>
      </c>
      <c r="R37" s="17">
        <f t="shared" si="9"/>
        <v>15</v>
      </c>
      <c r="S37" s="17">
        <f t="shared" si="10"/>
        <v>15</v>
      </c>
      <c r="T37" s="17">
        <f t="shared" si="11"/>
        <v>15</v>
      </c>
      <c r="U37" s="17">
        <f>B36-D36</f>
        <v>12</v>
      </c>
      <c r="V37" s="17">
        <f>NETWORKDAYS.INTL(D36,B36,1)</f>
        <v>9</v>
      </c>
      <c r="W37" s="24">
        <f>B36+V37</f>
        <v>45148</v>
      </c>
      <c r="X37" s="23">
        <f t="shared" si="12"/>
        <v>45139.381354166668</v>
      </c>
      <c r="Y37" s="22">
        <f t="shared" si="13"/>
        <v>45127.63559027778</v>
      </c>
    </row>
    <row r="38" spans="1:25" x14ac:dyDescent="0.2">
      <c r="A38" s="1" t="s">
        <v>75</v>
      </c>
      <c r="B38" s="2">
        <v>45179</v>
      </c>
      <c r="C38" s="3">
        <v>0.50847222222222221</v>
      </c>
      <c r="D38" s="2">
        <v>45168</v>
      </c>
      <c r="E38" s="3">
        <v>0.55084490740740744</v>
      </c>
      <c r="F38" s="4" t="s">
        <v>49</v>
      </c>
      <c r="H38" s="17" t="str">
        <f t="shared" si="0"/>
        <v>Cliente036</v>
      </c>
      <c r="I38" s="18">
        <f t="shared" si="14"/>
        <v>15</v>
      </c>
      <c r="J38" s="19">
        <f t="shared" si="1"/>
        <v>8</v>
      </c>
      <c r="K38" s="20">
        <f t="shared" si="2"/>
        <v>2023</v>
      </c>
      <c r="L38" s="17">
        <f t="shared" si="3"/>
        <v>8</v>
      </c>
      <c r="M38" s="17">
        <f t="shared" si="4"/>
        <v>8</v>
      </c>
      <c r="N38" s="17">
        <f t="shared" si="5"/>
        <v>8</v>
      </c>
      <c r="O38" s="17">
        <f t="shared" si="6"/>
        <v>5</v>
      </c>
      <c r="P38" s="17">
        <f t="shared" si="7"/>
        <v>8</v>
      </c>
      <c r="Q38" s="17">
        <f t="shared" si="8"/>
        <v>2023</v>
      </c>
      <c r="R38" s="17">
        <f t="shared" si="9"/>
        <v>10</v>
      </c>
      <c r="S38" s="17">
        <f t="shared" si="10"/>
        <v>10</v>
      </c>
      <c r="T38" s="17">
        <f t="shared" si="11"/>
        <v>10</v>
      </c>
      <c r="U38" s="17">
        <f>B37-D37</f>
        <v>10</v>
      </c>
      <c r="V38" s="17">
        <f>NETWORKDAYS.INTL(D37,B37,1)</f>
        <v>7</v>
      </c>
      <c r="W38" s="24">
        <f>B37+V38</f>
        <v>45160</v>
      </c>
      <c r="X38" s="23">
        <f t="shared" si="12"/>
        <v>45153.33898148148</v>
      </c>
      <c r="Y38" s="22">
        <f t="shared" si="13"/>
        <v>45143.423726851855</v>
      </c>
    </row>
    <row r="39" spans="1:25" x14ac:dyDescent="0.2">
      <c r="A39" s="1" t="s">
        <v>76</v>
      </c>
      <c r="B39" s="2">
        <v>45194</v>
      </c>
      <c r="C39" s="3">
        <v>0.55084490740740744</v>
      </c>
      <c r="D39" s="2">
        <v>45184</v>
      </c>
      <c r="E39" s="3">
        <v>0.38135416666666666</v>
      </c>
      <c r="F39" s="4" t="s">
        <v>17</v>
      </c>
      <c r="H39" s="17" t="str">
        <f t="shared" si="0"/>
        <v>Cliente037</v>
      </c>
      <c r="I39" s="18">
        <f t="shared" si="14"/>
        <v>10</v>
      </c>
      <c r="J39" s="19">
        <f t="shared" si="1"/>
        <v>9</v>
      </c>
      <c r="K39" s="20">
        <f t="shared" si="2"/>
        <v>2023</v>
      </c>
      <c r="L39" s="17">
        <f t="shared" si="3"/>
        <v>12</v>
      </c>
      <c r="M39" s="17">
        <f t="shared" si="4"/>
        <v>12</v>
      </c>
      <c r="N39" s="17">
        <f t="shared" si="5"/>
        <v>12</v>
      </c>
      <c r="O39" s="17">
        <f t="shared" si="6"/>
        <v>30</v>
      </c>
      <c r="P39" s="17">
        <f t="shared" si="7"/>
        <v>8</v>
      </c>
      <c r="Q39" s="17">
        <f t="shared" si="8"/>
        <v>2023</v>
      </c>
      <c r="R39" s="17">
        <f t="shared" si="9"/>
        <v>13</v>
      </c>
      <c r="S39" s="17">
        <f t="shared" si="10"/>
        <v>13</v>
      </c>
      <c r="T39" s="17">
        <f t="shared" si="11"/>
        <v>13</v>
      </c>
      <c r="U39" s="17">
        <f>B38-D38</f>
        <v>11</v>
      </c>
      <c r="V39" s="17">
        <f>NETWORKDAYS.INTL(D38,B38,1)</f>
        <v>8</v>
      </c>
      <c r="W39" s="24">
        <f>B38+V39</f>
        <v>45187</v>
      </c>
      <c r="X39" s="23">
        <f t="shared" si="12"/>
        <v>45179.508472222224</v>
      </c>
      <c r="Y39" s="22">
        <f t="shared" si="13"/>
        <v>45168.550844907404</v>
      </c>
    </row>
    <row r="40" spans="1:25" x14ac:dyDescent="0.2">
      <c r="A40" s="1" t="s">
        <v>77</v>
      </c>
      <c r="B40" s="2">
        <v>45204</v>
      </c>
      <c r="C40" s="3">
        <v>0.59321759259259255</v>
      </c>
      <c r="D40" s="2">
        <v>45194</v>
      </c>
      <c r="E40" s="3">
        <v>0.33898148148148149</v>
      </c>
      <c r="F40" s="4" t="s">
        <v>15</v>
      </c>
      <c r="H40" s="17" t="str">
        <f t="shared" si="0"/>
        <v>Cliente038</v>
      </c>
      <c r="I40" s="18">
        <f t="shared" si="14"/>
        <v>25</v>
      </c>
      <c r="J40" s="19">
        <f t="shared" si="1"/>
        <v>9</v>
      </c>
      <c r="K40" s="20">
        <f t="shared" si="2"/>
        <v>2023</v>
      </c>
      <c r="L40" s="17">
        <f t="shared" si="3"/>
        <v>13</v>
      </c>
      <c r="M40" s="17">
        <f t="shared" si="4"/>
        <v>13</v>
      </c>
      <c r="N40" s="17">
        <f t="shared" si="5"/>
        <v>13</v>
      </c>
      <c r="O40" s="17">
        <f t="shared" si="6"/>
        <v>15</v>
      </c>
      <c r="P40" s="17">
        <f t="shared" si="7"/>
        <v>9</v>
      </c>
      <c r="Q40" s="17">
        <f t="shared" si="8"/>
        <v>2023</v>
      </c>
      <c r="R40" s="17">
        <f t="shared" si="9"/>
        <v>9</v>
      </c>
      <c r="S40" s="17">
        <f t="shared" si="10"/>
        <v>9</v>
      </c>
      <c r="T40" s="17">
        <f t="shared" si="11"/>
        <v>9</v>
      </c>
      <c r="U40" s="17">
        <f>B39-D39</f>
        <v>10</v>
      </c>
      <c r="V40" s="17">
        <f>NETWORKDAYS.INTL(D39,B39,1)</f>
        <v>7</v>
      </c>
      <c r="W40" s="24">
        <f>B39+V40</f>
        <v>45201</v>
      </c>
      <c r="X40" s="23">
        <f t="shared" si="12"/>
        <v>45194.550844907404</v>
      </c>
      <c r="Y40" s="22">
        <f t="shared" si="13"/>
        <v>45184.381354166668</v>
      </c>
    </row>
    <row r="41" spans="1:25" x14ac:dyDescent="0.2">
      <c r="A41" s="1" t="s">
        <v>78</v>
      </c>
      <c r="B41" s="2">
        <v>45219</v>
      </c>
      <c r="C41" s="3">
        <v>0.63559027777777777</v>
      </c>
      <c r="D41" s="2">
        <v>45209</v>
      </c>
      <c r="E41" s="3">
        <v>0.29660879629629627</v>
      </c>
      <c r="F41" s="4" t="s">
        <v>79</v>
      </c>
      <c r="H41" s="17" t="str">
        <f t="shared" si="0"/>
        <v>Cliente039</v>
      </c>
      <c r="I41" s="18">
        <f t="shared" si="14"/>
        <v>5</v>
      </c>
      <c r="J41" s="19">
        <f t="shared" si="1"/>
        <v>10</v>
      </c>
      <c r="K41" s="20">
        <f t="shared" si="2"/>
        <v>2023</v>
      </c>
      <c r="L41" s="17">
        <f t="shared" si="3"/>
        <v>14</v>
      </c>
      <c r="M41" s="17">
        <f t="shared" si="4"/>
        <v>14</v>
      </c>
      <c r="N41" s="17">
        <f t="shared" si="5"/>
        <v>14</v>
      </c>
      <c r="O41" s="17">
        <f t="shared" si="6"/>
        <v>25</v>
      </c>
      <c r="P41" s="17">
        <f t="shared" si="7"/>
        <v>9</v>
      </c>
      <c r="Q41" s="17">
        <f t="shared" si="8"/>
        <v>2023</v>
      </c>
      <c r="R41" s="17">
        <f t="shared" si="9"/>
        <v>8</v>
      </c>
      <c r="S41" s="17">
        <f t="shared" si="10"/>
        <v>8</v>
      </c>
      <c r="T41" s="17">
        <f t="shared" si="11"/>
        <v>8</v>
      </c>
      <c r="U41" s="17">
        <f>B40-D40</f>
        <v>10</v>
      </c>
      <c r="V41" s="17">
        <f>NETWORKDAYS.INTL(D40,B40,1)</f>
        <v>9</v>
      </c>
      <c r="W41" s="24">
        <f>B40+V41</f>
        <v>45213</v>
      </c>
      <c r="X41" s="23">
        <f t="shared" si="12"/>
        <v>45204.593217592592</v>
      </c>
      <c r="Y41" s="22">
        <f t="shared" si="13"/>
        <v>45194.33898148148</v>
      </c>
    </row>
    <row r="42" spans="1:25" x14ac:dyDescent="0.2">
      <c r="A42" s="1" t="s">
        <v>80</v>
      </c>
      <c r="B42" s="2">
        <v>45231</v>
      </c>
      <c r="C42" s="3">
        <v>0.67796296296296299</v>
      </c>
      <c r="D42" s="2">
        <v>45221</v>
      </c>
      <c r="E42" s="3">
        <v>0.46609953703703705</v>
      </c>
      <c r="F42" s="4" t="s">
        <v>37</v>
      </c>
      <c r="H42" s="17" t="str">
        <f t="shared" si="0"/>
        <v>Cliente040</v>
      </c>
      <c r="I42" s="18">
        <f t="shared" si="14"/>
        <v>20</v>
      </c>
      <c r="J42" s="19">
        <f t="shared" si="1"/>
        <v>10</v>
      </c>
      <c r="K42" s="20">
        <f t="shared" si="2"/>
        <v>2023</v>
      </c>
      <c r="L42" s="17">
        <f t="shared" si="3"/>
        <v>15</v>
      </c>
      <c r="M42" s="17">
        <f t="shared" si="4"/>
        <v>15</v>
      </c>
      <c r="N42" s="17">
        <f t="shared" si="5"/>
        <v>15</v>
      </c>
      <c r="O42" s="17">
        <f t="shared" si="6"/>
        <v>10</v>
      </c>
      <c r="P42" s="17">
        <f t="shared" si="7"/>
        <v>10</v>
      </c>
      <c r="Q42" s="17">
        <f t="shared" si="8"/>
        <v>2023</v>
      </c>
      <c r="R42" s="17">
        <f t="shared" si="9"/>
        <v>7</v>
      </c>
      <c r="S42" s="17">
        <f t="shared" si="10"/>
        <v>7</v>
      </c>
      <c r="T42" s="17">
        <f t="shared" si="11"/>
        <v>7</v>
      </c>
      <c r="U42" s="17">
        <f>B41-D41</f>
        <v>10</v>
      </c>
      <c r="V42" s="17">
        <f>NETWORKDAYS.INTL(D41,B41,1)</f>
        <v>9</v>
      </c>
      <c r="W42" s="24">
        <f>B41+V42</f>
        <v>45228</v>
      </c>
      <c r="X42" s="23">
        <f t="shared" si="12"/>
        <v>45219.63559027778</v>
      </c>
      <c r="Y42" s="22">
        <f t="shared" si="13"/>
        <v>45209.2966087963</v>
      </c>
    </row>
    <row r="43" spans="1:25" x14ac:dyDescent="0.2">
      <c r="A43" s="1" t="s">
        <v>81</v>
      </c>
      <c r="B43" s="2">
        <v>45245</v>
      </c>
      <c r="C43" s="3">
        <v>0.42372685185185183</v>
      </c>
      <c r="D43" s="2">
        <v>45235</v>
      </c>
      <c r="E43" s="3">
        <v>0.55084490740740744</v>
      </c>
      <c r="F43" s="4" t="s">
        <v>82</v>
      </c>
      <c r="H43" s="17" t="str">
        <f t="shared" si="0"/>
        <v>Cliente041</v>
      </c>
      <c r="I43" s="18">
        <f t="shared" si="14"/>
        <v>1</v>
      </c>
      <c r="J43" s="19">
        <f t="shared" si="1"/>
        <v>11</v>
      </c>
      <c r="K43" s="20">
        <f t="shared" si="2"/>
        <v>2023</v>
      </c>
      <c r="L43" s="17">
        <f t="shared" si="3"/>
        <v>16</v>
      </c>
      <c r="M43" s="17">
        <f t="shared" si="4"/>
        <v>16</v>
      </c>
      <c r="N43" s="17">
        <f t="shared" si="5"/>
        <v>16</v>
      </c>
      <c r="O43" s="17">
        <f t="shared" si="6"/>
        <v>22</v>
      </c>
      <c r="P43" s="17">
        <f t="shared" si="7"/>
        <v>10</v>
      </c>
      <c r="Q43" s="17">
        <f t="shared" si="8"/>
        <v>2023</v>
      </c>
      <c r="R43" s="17">
        <f t="shared" si="9"/>
        <v>11</v>
      </c>
      <c r="S43" s="17">
        <f t="shared" si="10"/>
        <v>11</v>
      </c>
      <c r="T43" s="17">
        <f t="shared" si="11"/>
        <v>11</v>
      </c>
      <c r="U43" s="17">
        <f>B42-D42</f>
        <v>10</v>
      </c>
      <c r="V43" s="17">
        <f>NETWORKDAYS.INTL(D42,B42,1)</f>
        <v>8</v>
      </c>
      <c r="W43" s="24">
        <f>B42+V43</f>
        <v>45239</v>
      </c>
      <c r="X43" s="23">
        <f t="shared" si="12"/>
        <v>45231.67796296296</v>
      </c>
      <c r="Y43" s="22">
        <f t="shared" si="13"/>
        <v>45221.466099537036</v>
      </c>
    </row>
    <row r="44" spans="1:25" x14ac:dyDescent="0.2">
      <c r="A44" s="1" t="s">
        <v>83</v>
      </c>
      <c r="B44" s="2">
        <v>45260</v>
      </c>
      <c r="C44" s="3">
        <v>0.38135416666666666</v>
      </c>
      <c r="D44" s="2">
        <v>45250</v>
      </c>
      <c r="E44" s="3">
        <v>0.63559027777777777</v>
      </c>
      <c r="F44" s="4" t="s">
        <v>61</v>
      </c>
      <c r="H44" s="17" t="str">
        <f t="shared" si="0"/>
        <v>Cliente042</v>
      </c>
      <c r="I44" s="18">
        <f t="shared" si="14"/>
        <v>15</v>
      </c>
      <c r="J44" s="19">
        <f t="shared" si="1"/>
        <v>11</v>
      </c>
      <c r="K44" s="20">
        <f t="shared" si="2"/>
        <v>2023</v>
      </c>
      <c r="L44" s="17">
        <f t="shared" si="3"/>
        <v>10</v>
      </c>
      <c r="M44" s="17">
        <f t="shared" si="4"/>
        <v>10</v>
      </c>
      <c r="N44" s="17">
        <f t="shared" si="5"/>
        <v>10</v>
      </c>
      <c r="O44" s="17">
        <f t="shared" si="6"/>
        <v>5</v>
      </c>
      <c r="P44" s="17">
        <f t="shared" si="7"/>
        <v>11</v>
      </c>
      <c r="Q44" s="17">
        <f t="shared" si="8"/>
        <v>2023</v>
      </c>
      <c r="R44" s="17">
        <f t="shared" si="9"/>
        <v>13</v>
      </c>
      <c r="S44" s="17">
        <f t="shared" si="10"/>
        <v>13</v>
      </c>
      <c r="T44" s="17">
        <f t="shared" si="11"/>
        <v>13</v>
      </c>
      <c r="U44" s="17">
        <f>B43-D43</f>
        <v>10</v>
      </c>
      <c r="V44" s="17">
        <f>NETWORKDAYS.INTL(D43,B43,1)</f>
        <v>8</v>
      </c>
      <c r="W44" s="24">
        <f>B43+V44</f>
        <v>45253</v>
      </c>
      <c r="X44" s="23">
        <f t="shared" si="12"/>
        <v>45245.423726851855</v>
      </c>
      <c r="Y44" s="22">
        <f t="shared" si="13"/>
        <v>45235.550844907404</v>
      </c>
    </row>
    <row r="45" spans="1:25" x14ac:dyDescent="0.2">
      <c r="A45" s="1" t="s">
        <v>84</v>
      </c>
      <c r="B45" s="2">
        <v>45270</v>
      </c>
      <c r="C45" s="3">
        <v>0.33898148148148149</v>
      </c>
      <c r="D45" s="2">
        <v>45258</v>
      </c>
      <c r="E45" s="3">
        <v>0.59321759259259255</v>
      </c>
      <c r="F45" s="4" t="s">
        <v>69</v>
      </c>
      <c r="H45" s="17" t="str">
        <f t="shared" si="0"/>
        <v>Cliente043</v>
      </c>
      <c r="I45" s="18">
        <f t="shared" si="14"/>
        <v>30</v>
      </c>
      <c r="J45" s="19">
        <f t="shared" si="1"/>
        <v>11</v>
      </c>
      <c r="K45" s="20">
        <f t="shared" si="2"/>
        <v>2023</v>
      </c>
      <c r="L45" s="17">
        <f t="shared" si="3"/>
        <v>9</v>
      </c>
      <c r="M45" s="17">
        <f t="shared" si="4"/>
        <v>9</v>
      </c>
      <c r="N45" s="17">
        <f t="shared" si="5"/>
        <v>9</v>
      </c>
      <c r="O45" s="17">
        <f t="shared" si="6"/>
        <v>20</v>
      </c>
      <c r="P45" s="17">
        <f t="shared" si="7"/>
        <v>11</v>
      </c>
      <c r="Q45" s="17">
        <f t="shared" si="8"/>
        <v>2023</v>
      </c>
      <c r="R45" s="17">
        <f t="shared" si="9"/>
        <v>15</v>
      </c>
      <c r="S45" s="17">
        <f t="shared" si="10"/>
        <v>15</v>
      </c>
      <c r="T45" s="17">
        <f t="shared" si="11"/>
        <v>15</v>
      </c>
      <c r="U45" s="17">
        <f>B44-D44</f>
        <v>10</v>
      </c>
      <c r="V45" s="17">
        <f>NETWORKDAYS.INTL(D44,B44,1)</f>
        <v>9</v>
      </c>
      <c r="W45" s="24">
        <f>B44+V45</f>
        <v>45269</v>
      </c>
      <c r="X45" s="23">
        <f t="shared" si="12"/>
        <v>45260.381354166668</v>
      </c>
      <c r="Y45" s="22">
        <f t="shared" si="13"/>
        <v>45250.63559027778</v>
      </c>
    </row>
    <row r="46" spans="1:25" x14ac:dyDescent="0.2">
      <c r="A46" s="1" t="s">
        <v>85</v>
      </c>
      <c r="B46" s="2">
        <v>45280</v>
      </c>
      <c r="C46" s="3">
        <v>0.50847222222222221</v>
      </c>
      <c r="D46" s="2">
        <v>45265</v>
      </c>
      <c r="E46" s="3">
        <v>0.50847222222222221</v>
      </c>
      <c r="F46" s="4" t="s">
        <v>63</v>
      </c>
      <c r="H46" s="17" t="str">
        <f t="shared" si="0"/>
        <v>Cliente044</v>
      </c>
      <c r="I46" s="18">
        <f t="shared" si="14"/>
        <v>10</v>
      </c>
      <c r="J46" s="19">
        <f t="shared" si="1"/>
        <v>12</v>
      </c>
      <c r="K46" s="20">
        <f t="shared" si="2"/>
        <v>2023</v>
      </c>
      <c r="L46" s="17">
        <f t="shared" si="3"/>
        <v>8</v>
      </c>
      <c r="M46" s="17">
        <f t="shared" si="4"/>
        <v>8</v>
      </c>
      <c r="N46" s="17">
        <f t="shared" si="5"/>
        <v>8</v>
      </c>
      <c r="O46" s="17">
        <f t="shared" si="6"/>
        <v>28</v>
      </c>
      <c r="P46" s="17">
        <f t="shared" si="7"/>
        <v>11</v>
      </c>
      <c r="Q46" s="17">
        <f t="shared" si="8"/>
        <v>2023</v>
      </c>
      <c r="R46" s="17">
        <f t="shared" si="9"/>
        <v>14</v>
      </c>
      <c r="S46" s="17">
        <f t="shared" si="10"/>
        <v>14</v>
      </c>
      <c r="T46" s="17">
        <f t="shared" si="11"/>
        <v>14</v>
      </c>
      <c r="U46" s="17">
        <f>B45-D45</f>
        <v>12</v>
      </c>
      <c r="V46" s="17">
        <f>NETWORKDAYS.INTL(D45,B45,1)</f>
        <v>9</v>
      </c>
      <c r="W46" s="24">
        <f>B45+V46</f>
        <v>45279</v>
      </c>
      <c r="X46" s="23">
        <f t="shared" si="12"/>
        <v>45270.33898148148</v>
      </c>
      <c r="Y46" s="22">
        <f t="shared" si="13"/>
        <v>45258.593217592592</v>
      </c>
    </row>
    <row r="47" spans="1:25" x14ac:dyDescent="0.2">
      <c r="A47" s="1" t="s">
        <v>86</v>
      </c>
      <c r="B47" s="2">
        <v>44934</v>
      </c>
      <c r="C47" s="3">
        <v>0.46609953703703705</v>
      </c>
      <c r="D47" s="2">
        <v>44927</v>
      </c>
      <c r="E47" s="3">
        <v>0.42372685185185183</v>
      </c>
      <c r="F47" s="4" t="s">
        <v>15</v>
      </c>
      <c r="H47" s="17" t="str">
        <f t="shared" si="0"/>
        <v>Cliente045</v>
      </c>
      <c r="I47" s="18">
        <f t="shared" si="14"/>
        <v>20</v>
      </c>
      <c r="J47" s="19">
        <f t="shared" si="1"/>
        <v>12</v>
      </c>
      <c r="K47" s="20">
        <f t="shared" si="2"/>
        <v>2023</v>
      </c>
      <c r="L47" s="17">
        <f t="shared" si="3"/>
        <v>12</v>
      </c>
      <c r="M47" s="17">
        <f t="shared" si="4"/>
        <v>12</v>
      </c>
      <c r="N47" s="17">
        <f t="shared" si="5"/>
        <v>12</v>
      </c>
      <c r="O47" s="17">
        <f t="shared" si="6"/>
        <v>5</v>
      </c>
      <c r="P47" s="17">
        <f t="shared" si="7"/>
        <v>12</v>
      </c>
      <c r="Q47" s="17">
        <f t="shared" si="8"/>
        <v>2023</v>
      </c>
      <c r="R47" s="17">
        <f t="shared" si="9"/>
        <v>12</v>
      </c>
      <c r="S47" s="17">
        <f t="shared" si="10"/>
        <v>12</v>
      </c>
      <c r="T47" s="17">
        <f t="shared" si="11"/>
        <v>12</v>
      </c>
      <c r="U47" s="17">
        <f>B46-D46</f>
        <v>15</v>
      </c>
      <c r="V47" s="17">
        <f>NETWORKDAYS.INTL(D46,B46,1)</f>
        <v>12</v>
      </c>
      <c r="W47" s="24">
        <f>B46+V47</f>
        <v>45292</v>
      </c>
      <c r="X47" s="23">
        <f t="shared" si="12"/>
        <v>45280.508472222224</v>
      </c>
      <c r="Y47" s="22">
        <f t="shared" si="13"/>
        <v>45265.508472222224</v>
      </c>
    </row>
    <row r="48" spans="1:25" x14ac:dyDescent="0.2">
      <c r="A48" s="1" t="s">
        <v>87</v>
      </c>
      <c r="B48" s="2">
        <v>44948</v>
      </c>
      <c r="C48" s="3">
        <v>0.55084490740740744</v>
      </c>
      <c r="D48" s="2">
        <v>44936</v>
      </c>
      <c r="E48" s="3">
        <v>0.38135416666666666</v>
      </c>
      <c r="F48" s="4" t="s">
        <v>51</v>
      </c>
      <c r="H48" s="17" t="str">
        <f t="shared" si="0"/>
        <v>Cliente046</v>
      </c>
      <c r="I48" s="18">
        <f t="shared" si="14"/>
        <v>8</v>
      </c>
      <c r="J48" s="19">
        <f t="shared" si="1"/>
        <v>1</v>
      </c>
      <c r="K48" s="20">
        <f t="shared" si="2"/>
        <v>2023</v>
      </c>
      <c r="L48" s="17">
        <f t="shared" si="3"/>
        <v>11</v>
      </c>
      <c r="M48" s="17">
        <f t="shared" si="4"/>
        <v>11</v>
      </c>
      <c r="N48" s="17">
        <f t="shared" si="5"/>
        <v>11</v>
      </c>
      <c r="O48" s="17">
        <f t="shared" si="6"/>
        <v>1</v>
      </c>
      <c r="P48" s="17">
        <f t="shared" si="7"/>
        <v>1</v>
      </c>
      <c r="Q48" s="17">
        <f t="shared" si="8"/>
        <v>2023</v>
      </c>
      <c r="R48" s="17">
        <f t="shared" si="9"/>
        <v>10</v>
      </c>
      <c r="S48" s="17">
        <f t="shared" si="10"/>
        <v>10</v>
      </c>
      <c r="T48" s="17">
        <f t="shared" si="11"/>
        <v>10</v>
      </c>
      <c r="U48" s="17">
        <f>B47-D47</f>
        <v>7</v>
      </c>
      <c r="V48" s="17">
        <f>NETWORKDAYS.INTL(D47,B47,1)</f>
        <v>5</v>
      </c>
      <c r="W48" s="24">
        <f>B47+V48</f>
        <v>44939</v>
      </c>
      <c r="X48" s="23">
        <f t="shared" si="12"/>
        <v>44934.466099537036</v>
      </c>
      <c r="Y48" s="22">
        <f t="shared" si="13"/>
        <v>44927.423726851855</v>
      </c>
    </row>
    <row r="49" spans="1:25" x14ac:dyDescent="0.2">
      <c r="A49" s="1" t="s">
        <v>88</v>
      </c>
      <c r="B49" s="2">
        <v>44960</v>
      </c>
      <c r="C49" s="3">
        <v>0.59321759259259255</v>
      </c>
      <c r="D49" s="2">
        <v>44951</v>
      </c>
      <c r="E49" s="3">
        <v>0.33898148148148149</v>
      </c>
      <c r="F49" s="4" t="s">
        <v>65</v>
      </c>
      <c r="H49" s="17" t="str">
        <f t="shared" si="0"/>
        <v>Cliente047</v>
      </c>
      <c r="I49" s="18">
        <f t="shared" si="14"/>
        <v>22</v>
      </c>
      <c r="J49" s="19">
        <f t="shared" si="1"/>
        <v>1</v>
      </c>
      <c r="K49" s="20">
        <f t="shared" si="2"/>
        <v>2023</v>
      </c>
      <c r="L49" s="17">
        <f t="shared" si="3"/>
        <v>13</v>
      </c>
      <c r="M49" s="17">
        <f t="shared" si="4"/>
        <v>13</v>
      </c>
      <c r="N49" s="17">
        <f t="shared" si="5"/>
        <v>13</v>
      </c>
      <c r="O49" s="17">
        <f t="shared" si="6"/>
        <v>10</v>
      </c>
      <c r="P49" s="17">
        <f t="shared" si="7"/>
        <v>1</v>
      </c>
      <c r="Q49" s="17">
        <f t="shared" si="8"/>
        <v>2023</v>
      </c>
      <c r="R49" s="17">
        <f t="shared" si="9"/>
        <v>9</v>
      </c>
      <c r="S49" s="17">
        <f t="shared" si="10"/>
        <v>9</v>
      </c>
      <c r="T49" s="17">
        <f t="shared" si="11"/>
        <v>9</v>
      </c>
      <c r="U49" s="17">
        <f>B48-D48</f>
        <v>12</v>
      </c>
      <c r="V49" s="17">
        <f>NETWORKDAYS.INTL(D48,B48,1)</f>
        <v>9</v>
      </c>
      <c r="W49" s="24">
        <f>B48+V49</f>
        <v>44957</v>
      </c>
      <c r="X49" s="23">
        <f t="shared" si="12"/>
        <v>44948.550844907404</v>
      </c>
      <c r="Y49" s="22">
        <f t="shared" si="13"/>
        <v>44936.381354166668</v>
      </c>
    </row>
    <row r="50" spans="1:25" x14ac:dyDescent="0.2">
      <c r="A50" s="1" t="s">
        <v>89</v>
      </c>
      <c r="B50" s="2">
        <v>44975</v>
      </c>
      <c r="C50" s="3">
        <v>0.63559027777777777</v>
      </c>
      <c r="D50" s="2">
        <v>44965</v>
      </c>
      <c r="E50" s="3">
        <v>0.46609953703703705</v>
      </c>
      <c r="F50" s="4" t="s">
        <v>90</v>
      </c>
      <c r="H50" s="17" t="str">
        <f t="shared" si="0"/>
        <v>Cliente048</v>
      </c>
      <c r="I50" s="18">
        <f t="shared" si="14"/>
        <v>3</v>
      </c>
      <c r="J50" s="19">
        <f t="shared" si="1"/>
        <v>2</v>
      </c>
      <c r="K50" s="20">
        <f t="shared" si="2"/>
        <v>2023</v>
      </c>
      <c r="L50" s="17">
        <f t="shared" si="3"/>
        <v>14</v>
      </c>
      <c r="M50" s="17">
        <f t="shared" si="4"/>
        <v>14</v>
      </c>
      <c r="N50" s="17">
        <f t="shared" si="5"/>
        <v>14</v>
      </c>
      <c r="O50" s="17">
        <f t="shared" si="6"/>
        <v>25</v>
      </c>
      <c r="P50" s="17">
        <f t="shared" si="7"/>
        <v>1</v>
      </c>
      <c r="Q50" s="17">
        <f t="shared" si="8"/>
        <v>2023</v>
      </c>
      <c r="R50" s="17">
        <f t="shared" si="9"/>
        <v>8</v>
      </c>
      <c r="S50" s="17">
        <f t="shared" si="10"/>
        <v>8</v>
      </c>
      <c r="T50" s="17">
        <f t="shared" si="11"/>
        <v>8</v>
      </c>
      <c r="U50" s="17">
        <f>B49-D49</f>
        <v>9</v>
      </c>
      <c r="V50" s="17">
        <f>NETWORKDAYS.INTL(D49,B49,1)</f>
        <v>8</v>
      </c>
      <c r="W50" s="24">
        <f>B49+V50</f>
        <v>44968</v>
      </c>
      <c r="X50" s="23">
        <f t="shared" si="12"/>
        <v>44960.593217592592</v>
      </c>
      <c r="Y50" s="22">
        <f t="shared" si="13"/>
        <v>44951.33898148148</v>
      </c>
    </row>
    <row r="51" spans="1:25" x14ac:dyDescent="0.2">
      <c r="A51" s="1" t="s">
        <v>91</v>
      </c>
      <c r="B51" s="2">
        <v>44993</v>
      </c>
      <c r="C51" s="3">
        <v>0.42372685185185183</v>
      </c>
      <c r="D51" s="2">
        <v>44983</v>
      </c>
      <c r="E51" s="3">
        <v>0.55084490740740744</v>
      </c>
      <c r="F51" s="4" t="s">
        <v>17</v>
      </c>
      <c r="H51" s="17" t="str">
        <f t="shared" si="0"/>
        <v>Cliente049</v>
      </c>
      <c r="I51" s="18">
        <f t="shared" si="14"/>
        <v>18</v>
      </c>
      <c r="J51" s="19">
        <f t="shared" si="1"/>
        <v>2</v>
      </c>
      <c r="K51" s="20">
        <f t="shared" si="2"/>
        <v>2023</v>
      </c>
      <c r="L51" s="17">
        <f t="shared" si="3"/>
        <v>15</v>
      </c>
      <c r="M51" s="17">
        <f t="shared" si="4"/>
        <v>15</v>
      </c>
      <c r="N51" s="17">
        <f t="shared" si="5"/>
        <v>15</v>
      </c>
      <c r="O51" s="17">
        <f t="shared" si="6"/>
        <v>8</v>
      </c>
      <c r="P51" s="17">
        <f t="shared" si="7"/>
        <v>2</v>
      </c>
      <c r="Q51" s="17">
        <f t="shared" si="8"/>
        <v>2023</v>
      </c>
      <c r="R51" s="17">
        <f t="shared" si="9"/>
        <v>11</v>
      </c>
      <c r="S51" s="17">
        <f t="shared" si="10"/>
        <v>11</v>
      </c>
      <c r="T51" s="17">
        <f t="shared" si="11"/>
        <v>11</v>
      </c>
      <c r="U51" s="17">
        <f>B50-D50</f>
        <v>10</v>
      </c>
      <c r="V51" s="17">
        <f>NETWORKDAYS.INTL(D50,B50,1)</f>
        <v>8</v>
      </c>
      <c r="W51" s="24">
        <f>B50+V51</f>
        <v>44983</v>
      </c>
      <c r="X51" s="23">
        <f t="shared" si="12"/>
        <v>44975.63559027778</v>
      </c>
      <c r="Y51" s="22">
        <f t="shared" si="13"/>
        <v>44965.466099537036</v>
      </c>
    </row>
    <row r="52" spans="1:25" x14ac:dyDescent="0.2">
      <c r="A52" s="1" t="s">
        <v>92</v>
      </c>
      <c r="B52" s="2">
        <v>45008</v>
      </c>
      <c r="C52" s="3">
        <v>0.46609953703703705</v>
      </c>
      <c r="D52" s="2">
        <v>45000</v>
      </c>
      <c r="E52" s="3">
        <v>0.59321759259259255</v>
      </c>
      <c r="F52" s="4" t="s">
        <v>53</v>
      </c>
      <c r="H52" s="17" t="str">
        <f t="shared" si="0"/>
        <v>Cliente050</v>
      </c>
      <c r="I52" s="18">
        <f t="shared" si="14"/>
        <v>8</v>
      </c>
      <c r="J52" s="19">
        <f t="shared" si="1"/>
        <v>3</v>
      </c>
      <c r="K52" s="20">
        <f t="shared" si="2"/>
        <v>2023</v>
      </c>
      <c r="L52" s="17">
        <f t="shared" si="3"/>
        <v>10</v>
      </c>
      <c r="M52" s="17">
        <f t="shared" si="4"/>
        <v>10</v>
      </c>
      <c r="N52" s="17">
        <f t="shared" si="5"/>
        <v>10</v>
      </c>
      <c r="O52" s="17">
        <f t="shared" si="6"/>
        <v>26</v>
      </c>
      <c r="P52" s="17">
        <f t="shared" si="7"/>
        <v>2</v>
      </c>
      <c r="Q52" s="17">
        <f t="shared" si="8"/>
        <v>2023</v>
      </c>
      <c r="R52" s="17">
        <f t="shared" si="9"/>
        <v>13</v>
      </c>
      <c r="S52" s="17">
        <f t="shared" si="10"/>
        <v>13</v>
      </c>
      <c r="T52" s="17">
        <f t="shared" si="11"/>
        <v>13</v>
      </c>
      <c r="U52" s="17">
        <f>B51-D51</f>
        <v>10</v>
      </c>
      <c r="V52" s="17">
        <f>NETWORKDAYS.INTL(D51,B51,1)</f>
        <v>8</v>
      </c>
      <c r="W52" s="24">
        <f>B51+V52</f>
        <v>45001</v>
      </c>
      <c r="X52" s="23">
        <f t="shared" si="12"/>
        <v>44993.423726851855</v>
      </c>
      <c r="Y52" s="22">
        <f t="shared" si="13"/>
        <v>44983.550844907404</v>
      </c>
    </row>
    <row r="53" spans="1:25" x14ac:dyDescent="0.2">
      <c r="A53" s="1" t="s">
        <v>93</v>
      </c>
      <c r="B53" s="2">
        <v>45020</v>
      </c>
      <c r="C53" s="3">
        <v>0.38135416666666666</v>
      </c>
      <c r="D53" s="2">
        <v>45007</v>
      </c>
      <c r="E53" s="3">
        <v>0.63559027777777777</v>
      </c>
      <c r="F53" s="4" t="s">
        <v>57</v>
      </c>
      <c r="H53" s="17" t="str">
        <f t="shared" si="0"/>
        <v>Cliente051</v>
      </c>
      <c r="I53" s="18">
        <f t="shared" si="14"/>
        <v>23</v>
      </c>
      <c r="J53" s="19">
        <f t="shared" si="1"/>
        <v>3</v>
      </c>
      <c r="K53" s="20">
        <f t="shared" si="2"/>
        <v>2023</v>
      </c>
      <c r="L53" s="17">
        <f t="shared" si="3"/>
        <v>11</v>
      </c>
      <c r="M53" s="17">
        <f t="shared" si="4"/>
        <v>11</v>
      </c>
      <c r="N53" s="17">
        <f t="shared" si="5"/>
        <v>11</v>
      </c>
      <c r="O53" s="17">
        <f t="shared" si="6"/>
        <v>15</v>
      </c>
      <c r="P53" s="17">
        <f t="shared" si="7"/>
        <v>3</v>
      </c>
      <c r="Q53" s="17">
        <f t="shared" si="8"/>
        <v>2023</v>
      </c>
      <c r="R53" s="17">
        <f t="shared" si="9"/>
        <v>14</v>
      </c>
      <c r="S53" s="17">
        <f t="shared" si="10"/>
        <v>14</v>
      </c>
      <c r="T53" s="17">
        <f t="shared" si="11"/>
        <v>14</v>
      </c>
      <c r="U53" s="17">
        <f>B52-D52</f>
        <v>8</v>
      </c>
      <c r="V53" s="17">
        <f>NETWORKDAYS.INTL(D52,B52,1)</f>
        <v>7</v>
      </c>
      <c r="W53" s="24">
        <f>B52+V53</f>
        <v>45015</v>
      </c>
      <c r="X53" s="23">
        <f t="shared" si="12"/>
        <v>45008.466099537036</v>
      </c>
      <c r="Y53" s="22">
        <f t="shared" si="13"/>
        <v>45000.593217592592</v>
      </c>
    </row>
    <row r="54" spans="1:25" x14ac:dyDescent="0.2">
      <c r="A54" s="1" t="s">
        <v>94</v>
      </c>
      <c r="B54" s="2">
        <v>45034</v>
      </c>
      <c r="C54" s="3">
        <v>0.33898148148148149</v>
      </c>
      <c r="D54" s="2">
        <v>45021</v>
      </c>
      <c r="E54" s="3">
        <v>0.42372685185185183</v>
      </c>
      <c r="F54" s="4" t="s">
        <v>69</v>
      </c>
      <c r="H54" s="17" t="str">
        <f t="shared" si="0"/>
        <v>Cliente052</v>
      </c>
      <c r="I54" s="18">
        <f t="shared" si="14"/>
        <v>4</v>
      </c>
      <c r="J54" s="19">
        <f t="shared" si="1"/>
        <v>4</v>
      </c>
      <c r="K54" s="20">
        <f t="shared" si="2"/>
        <v>2023</v>
      </c>
      <c r="L54" s="17">
        <f t="shared" si="3"/>
        <v>9</v>
      </c>
      <c r="M54" s="17">
        <f t="shared" si="4"/>
        <v>9</v>
      </c>
      <c r="N54" s="17">
        <f t="shared" si="5"/>
        <v>9</v>
      </c>
      <c r="O54" s="17">
        <f t="shared" si="6"/>
        <v>22</v>
      </c>
      <c r="P54" s="17">
        <f t="shared" si="7"/>
        <v>3</v>
      </c>
      <c r="Q54" s="17">
        <f t="shared" si="8"/>
        <v>2023</v>
      </c>
      <c r="R54" s="17">
        <f t="shared" si="9"/>
        <v>15</v>
      </c>
      <c r="S54" s="17">
        <f t="shared" si="10"/>
        <v>15</v>
      </c>
      <c r="T54" s="17">
        <f t="shared" si="11"/>
        <v>15</v>
      </c>
      <c r="U54" s="17">
        <f>B53-D53</f>
        <v>13</v>
      </c>
      <c r="V54" s="17">
        <f>NETWORKDAYS.INTL(D53,B53,1)</f>
        <v>10</v>
      </c>
      <c r="W54" s="24">
        <f>B53+V54</f>
        <v>45030</v>
      </c>
      <c r="X54" s="23">
        <f t="shared" si="12"/>
        <v>45020.381354166668</v>
      </c>
      <c r="Y54" s="22">
        <f t="shared" si="13"/>
        <v>45007.63559027778</v>
      </c>
    </row>
    <row r="55" spans="1:25" x14ac:dyDescent="0.2">
      <c r="A55" s="1" t="s">
        <v>95</v>
      </c>
      <c r="B55" s="2">
        <v>45049</v>
      </c>
      <c r="C55" s="3">
        <v>0.50847222222222221</v>
      </c>
      <c r="D55" s="2">
        <v>45036</v>
      </c>
      <c r="E55" s="3">
        <v>0.33898148148148149</v>
      </c>
      <c r="F55" s="4" t="s">
        <v>63</v>
      </c>
      <c r="H55" s="17" t="str">
        <f t="shared" si="0"/>
        <v>Cliente053</v>
      </c>
      <c r="I55" s="18">
        <f t="shared" si="14"/>
        <v>18</v>
      </c>
      <c r="J55" s="19">
        <f t="shared" si="1"/>
        <v>4</v>
      </c>
      <c r="K55" s="20">
        <f t="shared" si="2"/>
        <v>2023</v>
      </c>
      <c r="L55" s="17">
        <f t="shared" si="3"/>
        <v>8</v>
      </c>
      <c r="M55" s="17">
        <f t="shared" si="4"/>
        <v>8</v>
      </c>
      <c r="N55" s="17">
        <f t="shared" si="5"/>
        <v>8</v>
      </c>
      <c r="O55" s="17">
        <f t="shared" si="6"/>
        <v>5</v>
      </c>
      <c r="P55" s="17">
        <f t="shared" si="7"/>
        <v>4</v>
      </c>
      <c r="Q55" s="17">
        <f t="shared" si="8"/>
        <v>2023</v>
      </c>
      <c r="R55" s="17">
        <f t="shared" si="9"/>
        <v>10</v>
      </c>
      <c r="S55" s="17">
        <f t="shared" si="10"/>
        <v>10</v>
      </c>
      <c r="T55" s="17">
        <f t="shared" si="11"/>
        <v>10</v>
      </c>
      <c r="U55" s="17">
        <f>B54-D54</f>
        <v>13</v>
      </c>
      <c r="V55" s="17">
        <f>NETWORKDAYS.INTL(D54,B54,1)</f>
        <v>10</v>
      </c>
      <c r="W55" s="24">
        <f>B54+V55</f>
        <v>45044</v>
      </c>
      <c r="X55" s="23">
        <f t="shared" si="12"/>
        <v>45034.33898148148</v>
      </c>
      <c r="Y55" s="22">
        <f t="shared" si="13"/>
        <v>45021.423726851855</v>
      </c>
    </row>
    <row r="56" spans="1:25" x14ac:dyDescent="0.2">
      <c r="A56" s="1" t="s">
        <v>96</v>
      </c>
      <c r="B56" s="2">
        <v>45063</v>
      </c>
      <c r="C56" s="3">
        <v>0.55084490740740744</v>
      </c>
      <c r="D56" s="2">
        <v>45051</v>
      </c>
      <c r="E56" s="3">
        <v>0.38135416666666666</v>
      </c>
      <c r="F56" s="4" t="s">
        <v>49</v>
      </c>
      <c r="H56" s="17" t="str">
        <f t="shared" si="0"/>
        <v>Cliente054</v>
      </c>
      <c r="I56" s="18">
        <f t="shared" si="14"/>
        <v>3</v>
      </c>
      <c r="J56" s="19">
        <f t="shared" si="1"/>
        <v>5</v>
      </c>
      <c r="K56" s="20">
        <f t="shared" si="2"/>
        <v>2023</v>
      </c>
      <c r="L56" s="17">
        <f t="shared" si="3"/>
        <v>12</v>
      </c>
      <c r="M56" s="17">
        <f t="shared" si="4"/>
        <v>12</v>
      </c>
      <c r="N56" s="17">
        <f t="shared" si="5"/>
        <v>12</v>
      </c>
      <c r="O56" s="17">
        <f t="shared" si="6"/>
        <v>20</v>
      </c>
      <c r="P56" s="17">
        <f t="shared" si="7"/>
        <v>4</v>
      </c>
      <c r="Q56" s="17">
        <f t="shared" si="8"/>
        <v>2023</v>
      </c>
      <c r="R56" s="17">
        <f t="shared" si="9"/>
        <v>8</v>
      </c>
      <c r="S56" s="17">
        <f t="shared" si="10"/>
        <v>8</v>
      </c>
      <c r="T56" s="17">
        <f t="shared" si="11"/>
        <v>8</v>
      </c>
      <c r="U56" s="17">
        <f>B55-D55</f>
        <v>13</v>
      </c>
      <c r="V56" s="17">
        <f>NETWORKDAYS.INTL(D55,B55,1)</f>
        <v>10</v>
      </c>
      <c r="W56" s="24">
        <f>B55+V56</f>
        <v>45059</v>
      </c>
      <c r="X56" s="23">
        <f t="shared" si="12"/>
        <v>45049.508472222224</v>
      </c>
      <c r="Y56" s="22">
        <f t="shared" si="13"/>
        <v>45036.33898148148</v>
      </c>
    </row>
    <row r="57" spans="1:25" x14ac:dyDescent="0.2">
      <c r="A57" s="1" t="s">
        <v>97</v>
      </c>
      <c r="B57" s="2">
        <v>45089</v>
      </c>
      <c r="C57" s="3">
        <v>0.59321759259259255</v>
      </c>
      <c r="D57" s="2">
        <v>45078</v>
      </c>
      <c r="E57" s="3">
        <v>0.46609953703703705</v>
      </c>
      <c r="F57" s="4" t="s">
        <v>65</v>
      </c>
      <c r="H57" s="17" t="str">
        <f t="shared" si="0"/>
        <v>Cliente055</v>
      </c>
      <c r="I57" s="18">
        <f t="shared" si="14"/>
        <v>17</v>
      </c>
      <c r="J57" s="19">
        <f t="shared" si="1"/>
        <v>5</v>
      </c>
      <c r="K57" s="20">
        <f t="shared" si="2"/>
        <v>2023</v>
      </c>
      <c r="L57" s="17">
        <f t="shared" si="3"/>
        <v>13</v>
      </c>
      <c r="M57" s="17">
        <f t="shared" si="4"/>
        <v>13</v>
      </c>
      <c r="N57" s="17">
        <f t="shared" si="5"/>
        <v>13</v>
      </c>
      <c r="O57" s="17">
        <f t="shared" si="6"/>
        <v>5</v>
      </c>
      <c r="P57" s="17">
        <f t="shared" si="7"/>
        <v>5</v>
      </c>
      <c r="Q57" s="17">
        <f t="shared" si="8"/>
        <v>2023</v>
      </c>
      <c r="R57" s="17">
        <f t="shared" si="9"/>
        <v>9</v>
      </c>
      <c r="S57" s="17">
        <f t="shared" si="10"/>
        <v>9</v>
      </c>
      <c r="T57" s="17">
        <f t="shared" si="11"/>
        <v>9</v>
      </c>
      <c r="U57" s="17">
        <f>B56-D56</f>
        <v>12</v>
      </c>
      <c r="V57" s="17">
        <f>NETWORKDAYS.INTL(D56,B56,1)</f>
        <v>9</v>
      </c>
      <c r="W57" s="24">
        <f>B56+V57</f>
        <v>45072</v>
      </c>
      <c r="X57" s="23">
        <f t="shared" si="12"/>
        <v>45063.550844907404</v>
      </c>
      <c r="Y57" s="22">
        <f t="shared" si="13"/>
        <v>45051.381354166668</v>
      </c>
    </row>
    <row r="58" spans="1:25" x14ac:dyDescent="0.2">
      <c r="A58" s="1" t="s">
        <v>98</v>
      </c>
      <c r="B58" s="2">
        <v>45103</v>
      </c>
      <c r="C58" s="3">
        <v>0.63559027777777777</v>
      </c>
      <c r="D58" s="2">
        <v>45092</v>
      </c>
      <c r="E58" s="3">
        <v>0.63559027777777777</v>
      </c>
      <c r="F58" s="4" t="s">
        <v>90</v>
      </c>
      <c r="H58" s="17" t="str">
        <f t="shared" si="0"/>
        <v>Cliente056</v>
      </c>
      <c r="I58" s="18">
        <f t="shared" si="14"/>
        <v>12</v>
      </c>
      <c r="J58" s="19">
        <f t="shared" si="1"/>
        <v>6</v>
      </c>
      <c r="K58" s="20">
        <f t="shared" si="2"/>
        <v>2023</v>
      </c>
      <c r="L58" s="17">
        <f t="shared" si="3"/>
        <v>14</v>
      </c>
      <c r="M58" s="17">
        <f t="shared" si="4"/>
        <v>14</v>
      </c>
      <c r="N58" s="17">
        <f t="shared" si="5"/>
        <v>14</v>
      </c>
      <c r="O58" s="17">
        <f t="shared" si="6"/>
        <v>1</v>
      </c>
      <c r="P58" s="17">
        <f t="shared" si="7"/>
        <v>6</v>
      </c>
      <c r="Q58" s="17">
        <f t="shared" si="8"/>
        <v>2023</v>
      </c>
      <c r="R58" s="17">
        <f t="shared" si="9"/>
        <v>11</v>
      </c>
      <c r="S58" s="17">
        <f t="shared" si="10"/>
        <v>11</v>
      </c>
      <c r="T58" s="17">
        <f t="shared" si="11"/>
        <v>11</v>
      </c>
      <c r="U58" s="17">
        <f>B57-D57</f>
        <v>11</v>
      </c>
      <c r="V58" s="17">
        <f>NETWORKDAYS.INTL(D57,B57,1)</f>
        <v>8</v>
      </c>
      <c r="W58" s="24">
        <f>B57+V58</f>
        <v>45097</v>
      </c>
      <c r="X58" s="23">
        <f t="shared" si="12"/>
        <v>45089.593217592592</v>
      </c>
      <c r="Y58" s="22">
        <f t="shared" si="13"/>
        <v>45078.466099537036</v>
      </c>
    </row>
    <row r="59" spans="1:25" x14ac:dyDescent="0.2">
      <c r="A59" s="1" t="s">
        <v>99</v>
      </c>
      <c r="B59" s="2">
        <v>45114</v>
      </c>
      <c r="C59" s="3">
        <v>0.67796296296296299</v>
      </c>
      <c r="D59" s="2">
        <v>45102</v>
      </c>
      <c r="E59" s="3">
        <v>0.50847222222222221</v>
      </c>
      <c r="F59" s="4" t="s">
        <v>17</v>
      </c>
      <c r="H59" s="17" t="str">
        <f t="shared" si="0"/>
        <v>Cliente057</v>
      </c>
      <c r="I59" s="18">
        <f t="shared" si="14"/>
        <v>26</v>
      </c>
      <c r="J59" s="19">
        <f t="shared" si="1"/>
        <v>6</v>
      </c>
      <c r="K59" s="20">
        <f t="shared" si="2"/>
        <v>2023</v>
      </c>
      <c r="L59" s="17">
        <f t="shared" si="3"/>
        <v>15</v>
      </c>
      <c r="M59" s="17">
        <f t="shared" si="4"/>
        <v>15</v>
      </c>
      <c r="N59" s="17">
        <f t="shared" si="5"/>
        <v>15</v>
      </c>
      <c r="O59" s="17">
        <f t="shared" si="6"/>
        <v>15</v>
      </c>
      <c r="P59" s="17">
        <f t="shared" si="7"/>
        <v>6</v>
      </c>
      <c r="Q59" s="17">
        <f t="shared" si="8"/>
        <v>2023</v>
      </c>
      <c r="R59" s="17">
        <f t="shared" si="9"/>
        <v>15</v>
      </c>
      <c r="S59" s="17">
        <f t="shared" si="10"/>
        <v>15</v>
      </c>
      <c r="T59" s="17">
        <f t="shared" si="11"/>
        <v>15</v>
      </c>
      <c r="U59" s="17">
        <f>B58-D58</f>
        <v>11</v>
      </c>
      <c r="V59" s="17">
        <f>NETWORKDAYS.INTL(D58,B58,1)</f>
        <v>8</v>
      </c>
      <c r="W59" s="24">
        <f>B58+V59</f>
        <v>45111</v>
      </c>
      <c r="X59" s="23">
        <f t="shared" si="12"/>
        <v>45103.63559027778</v>
      </c>
      <c r="Y59" s="22">
        <f t="shared" si="13"/>
        <v>45092.63559027778</v>
      </c>
    </row>
    <row r="60" spans="1:25" x14ac:dyDescent="0.2">
      <c r="A60" s="1" t="s">
        <v>100</v>
      </c>
      <c r="B60" s="2">
        <v>45128</v>
      </c>
      <c r="C60" s="3">
        <v>0.42372685185185183</v>
      </c>
      <c r="D60" s="2">
        <v>45118</v>
      </c>
      <c r="E60" s="3">
        <v>0.55084490740740744</v>
      </c>
      <c r="F60" s="4" t="s">
        <v>79</v>
      </c>
      <c r="H60" s="17" t="str">
        <f t="shared" si="0"/>
        <v>Cliente058</v>
      </c>
      <c r="I60" s="18">
        <f t="shared" si="14"/>
        <v>7</v>
      </c>
      <c r="J60" s="19">
        <f t="shared" si="1"/>
        <v>7</v>
      </c>
      <c r="K60" s="20">
        <f t="shared" si="2"/>
        <v>2023</v>
      </c>
      <c r="L60" s="17">
        <f t="shared" si="3"/>
        <v>16</v>
      </c>
      <c r="M60" s="17">
        <f t="shared" si="4"/>
        <v>16</v>
      </c>
      <c r="N60" s="17">
        <f t="shared" si="5"/>
        <v>16</v>
      </c>
      <c r="O60" s="17">
        <f t="shared" si="6"/>
        <v>25</v>
      </c>
      <c r="P60" s="17">
        <f t="shared" si="7"/>
        <v>6</v>
      </c>
      <c r="Q60" s="17">
        <f t="shared" si="8"/>
        <v>2023</v>
      </c>
      <c r="R60" s="17">
        <f t="shared" si="9"/>
        <v>12</v>
      </c>
      <c r="S60" s="17">
        <f t="shared" si="10"/>
        <v>12</v>
      </c>
      <c r="T60" s="17">
        <f t="shared" si="11"/>
        <v>12</v>
      </c>
      <c r="U60" s="17">
        <f>B59-D59</f>
        <v>12</v>
      </c>
      <c r="V60" s="17">
        <f>NETWORKDAYS.INTL(D59,B59,1)</f>
        <v>10</v>
      </c>
      <c r="W60" s="24">
        <f>B59+V60</f>
        <v>45124</v>
      </c>
      <c r="X60" s="23">
        <f t="shared" si="12"/>
        <v>45114.67796296296</v>
      </c>
      <c r="Y60" s="22">
        <f t="shared" si="13"/>
        <v>45102.508472222224</v>
      </c>
    </row>
    <row r="61" spans="1:25" x14ac:dyDescent="0.2">
      <c r="A61" s="1" t="s">
        <v>101</v>
      </c>
      <c r="B61" s="2">
        <v>45140</v>
      </c>
      <c r="C61" s="3">
        <v>0.38135416666666666</v>
      </c>
      <c r="D61" s="2">
        <v>45127</v>
      </c>
      <c r="E61" s="3">
        <v>0.33898148148148149</v>
      </c>
      <c r="F61" s="4" t="s">
        <v>65</v>
      </c>
      <c r="H61" s="17" t="str">
        <f t="shared" si="0"/>
        <v>Cliente059</v>
      </c>
      <c r="I61" s="18">
        <f t="shared" si="14"/>
        <v>21</v>
      </c>
      <c r="J61" s="19">
        <f t="shared" si="1"/>
        <v>7</v>
      </c>
      <c r="K61" s="20">
        <f t="shared" si="2"/>
        <v>2023</v>
      </c>
      <c r="L61" s="17">
        <f t="shared" si="3"/>
        <v>10</v>
      </c>
      <c r="M61" s="17">
        <f t="shared" si="4"/>
        <v>10</v>
      </c>
      <c r="N61" s="17">
        <f t="shared" si="5"/>
        <v>10</v>
      </c>
      <c r="O61" s="17">
        <f t="shared" si="6"/>
        <v>11</v>
      </c>
      <c r="P61" s="17">
        <f t="shared" si="7"/>
        <v>7</v>
      </c>
      <c r="Q61" s="17">
        <f t="shared" si="8"/>
        <v>2023</v>
      </c>
      <c r="R61" s="17">
        <f t="shared" si="9"/>
        <v>13</v>
      </c>
      <c r="S61" s="17">
        <f t="shared" si="10"/>
        <v>13</v>
      </c>
      <c r="T61" s="17">
        <f t="shared" si="11"/>
        <v>13</v>
      </c>
      <c r="U61" s="17">
        <f>B60-D60</f>
        <v>10</v>
      </c>
      <c r="V61" s="17">
        <f>NETWORKDAYS.INTL(D60,B60,1)</f>
        <v>9</v>
      </c>
      <c r="W61" s="24">
        <f>B60+V61</f>
        <v>45137</v>
      </c>
      <c r="X61" s="23">
        <f t="shared" si="12"/>
        <v>45128.423726851855</v>
      </c>
      <c r="Y61" s="22">
        <f t="shared" si="13"/>
        <v>45118.550844907404</v>
      </c>
    </row>
    <row r="62" spans="1:25" x14ac:dyDescent="0.2">
      <c r="A62" s="1" t="s">
        <v>102</v>
      </c>
      <c r="B62" s="2">
        <v>45154</v>
      </c>
      <c r="C62" s="3">
        <v>0.33898148148148149</v>
      </c>
      <c r="D62" s="2">
        <v>45143</v>
      </c>
      <c r="E62" s="3">
        <v>0.59321759259259255</v>
      </c>
      <c r="F62" s="4" t="s">
        <v>15</v>
      </c>
      <c r="H62" s="17" t="str">
        <f t="shared" si="0"/>
        <v>Cliente060</v>
      </c>
      <c r="I62" s="18">
        <f t="shared" si="14"/>
        <v>2</v>
      </c>
      <c r="J62" s="19">
        <f t="shared" si="1"/>
        <v>8</v>
      </c>
      <c r="K62" s="20">
        <f t="shared" si="2"/>
        <v>2023</v>
      </c>
      <c r="L62" s="17">
        <f t="shared" si="3"/>
        <v>9</v>
      </c>
      <c r="M62" s="17">
        <f t="shared" si="4"/>
        <v>9</v>
      </c>
      <c r="N62" s="17">
        <f t="shared" si="5"/>
        <v>9</v>
      </c>
      <c r="O62" s="17">
        <f t="shared" si="6"/>
        <v>20</v>
      </c>
      <c r="P62" s="17">
        <f t="shared" si="7"/>
        <v>7</v>
      </c>
      <c r="Q62" s="17">
        <f t="shared" si="8"/>
        <v>2023</v>
      </c>
      <c r="R62" s="17">
        <f t="shared" si="9"/>
        <v>8</v>
      </c>
      <c r="S62" s="17">
        <f t="shared" si="10"/>
        <v>8</v>
      </c>
      <c r="T62" s="17">
        <f t="shared" si="11"/>
        <v>8</v>
      </c>
      <c r="U62" s="17">
        <f>B61-D61</f>
        <v>13</v>
      </c>
      <c r="V62" s="17">
        <f>NETWORKDAYS.INTL(D61,B61,1)</f>
        <v>10</v>
      </c>
      <c r="W62" s="24">
        <f>B61+V62</f>
        <v>45150</v>
      </c>
      <c r="X62" s="23">
        <f t="shared" si="12"/>
        <v>45140.381354166668</v>
      </c>
      <c r="Y62" s="22">
        <f t="shared" si="13"/>
        <v>45127.33898148148</v>
      </c>
    </row>
    <row r="63" spans="1:25" x14ac:dyDescent="0.2">
      <c r="A63" s="1" t="s">
        <v>103</v>
      </c>
      <c r="B63" s="2">
        <v>45180</v>
      </c>
      <c r="C63" s="3">
        <v>0.50847222222222221</v>
      </c>
      <c r="D63" s="2">
        <v>45169</v>
      </c>
      <c r="E63" s="3">
        <v>0.42372685185185183</v>
      </c>
      <c r="F63" s="4" t="s">
        <v>49</v>
      </c>
      <c r="H63" s="17" t="str">
        <f t="shared" si="0"/>
        <v>Cliente061</v>
      </c>
      <c r="I63" s="18">
        <f t="shared" si="14"/>
        <v>16</v>
      </c>
      <c r="J63" s="19">
        <f t="shared" si="1"/>
        <v>8</v>
      </c>
      <c r="K63" s="20">
        <f t="shared" si="2"/>
        <v>2023</v>
      </c>
      <c r="L63" s="17">
        <f t="shared" si="3"/>
        <v>8</v>
      </c>
      <c r="M63" s="17">
        <f t="shared" si="4"/>
        <v>8</v>
      </c>
      <c r="N63" s="17">
        <f t="shared" si="5"/>
        <v>8</v>
      </c>
      <c r="O63" s="17">
        <f t="shared" si="6"/>
        <v>5</v>
      </c>
      <c r="P63" s="17">
        <f t="shared" si="7"/>
        <v>8</v>
      </c>
      <c r="Q63" s="17">
        <f t="shared" si="8"/>
        <v>2023</v>
      </c>
      <c r="R63" s="17">
        <f t="shared" si="9"/>
        <v>14</v>
      </c>
      <c r="S63" s="17">
        <f t="shared" si="10"/>
        <v>14</v>
      </c>
      <c r="T63" s="17">
        <f t="shared" si="11"/>
        <v>14</v>
      </c>
      <c r="U63" s="17">
        <f>B62-D62</f>
        <v>11</v>
      </c>
      <c r="V63" s="17">
        <f>NETWORKDAYS.INTL(D62,B62,1)</f>
        <v>8</v>
      </c>
      <c r="W63" s="24">
        <f>B62+V63</f>
        <v>45162</v>
      </c>
      <c r="X63" s="23">
        <f t="shared" si="12"/>
        <v>45154.33898148148</v>
      </c>
      <c r="Y63" s="22">
        <f t="shared" si="13"/>
        <v>45143.593217592592</v>
      </c>
    </row>
    <row r="64" spans="1:25" x14ac:dyDescent="0.2">
      <c r="A64" s="1" t="s">
        <v>104</v>
      </c>
      <c r="B64" s="2">
        <v>45195</v>
      </c>
      <c r="C64" s="3">
        <v>0.55084490740740744</v>
      </c>
      <c r="D64" s="2">
        <v>45185</v>
      </c>
      <c r="E64" s="3">
        <v>0.38135416666666666</v>
      </c>
      <c r="F64" s="4" t="s">
        <v>63</v>
      </c>
      <c r="H64" s="17" t="str">
        <f t="shared" si="0"/>
        <v>Cliente062</v>
      </c>
      <c r="I64" s="18">
        <f t="shared" si="14"/>
        <v>11</v>
      </c>
      <c r="J64" s="19">
        <f t="shared" si="1"/>
        <v>9</v>
      </c>
      <c r="K64" s="20">
        <f t="shared" si="2"/>
        <v>2023</v>
      </c>
      <c r="L64" s="17">
        <f t="shared" si="3"/>
        <v>12</v>
      </c>
      <c r="M64" s="17">
        <f t="shared" si="4"/>
        <v>12</v>
      </c>
      <c r="N64" s="17">
        <f t="shared" si="5"/>
        <v>12</v>
      </c>
      <c r="O64" s="17">
        <f t="shared" si="6"/>
        <v>31</v>
      </c>
      <c r="P64" s="17">
        <f t="shared" si="7"/>
        <v>8</v>
      </c>
      <c r="Q64" s="17">
        <f t="shared" si="8"/>
        <v>2023</v>
      </c>
      <c r="R64" s="17">
        <f t="shared" si="9"/>
        <v>10</v>
      </c>
      <c r="S64" s="17">
        <f t="shared" si="10"/>
        <v>10</v>
      </c>
      <c r="T64" s="17">
        <f t="shared" si="11"/>
        <v>10</v>
      </c>
      <c r="U64" s="17">
        <f>B63-D63</f>
        <v>11</v>
      </c>
      <c r="V64" s="17">
        <f>NETWORKDAYS.INTL(D63,B63,1)</f>
        <v>8</v>
      </c>
      <c r="W64" s="24">
        <f>B63+V64</f>
        <v>45188</v>
      </c>
      <c r="X64" s="23">
        <f t="shared" si="12"/>
        <v>45180.508472222224</v>
      </c>
      <c r="Y64" s="22">
        <f t="shared" si="13"/>
        <v>45169.423726851855</v>
      </c>
    </row>
    <row r="65" spans="1:25" x14ac:dyDescent="0.2">
      <c r="A65" s="1" t="s">
        <v>105</v>
      </c>
      <c r="B65" s="2">
        <v>45205</v>
      </c>
      <c r="C65" s="3">
        <v>0.59321759259259255</v>
      </c>
      <c r="D65" s="2">
        <v>45195</v>
      </c>
      <c r="E65" s="3">
        <v>0.50847222222222221</v>
      </c>
      <c r="F65" s="4" t="s">
        <v>17</v>
      </c>
      <c r="H65" s="17" t="str">
        <f t="shared" si="0"/>
        <v>Cliente063</v>
      </c>
      <c r="I65" s="18">
        <f t="shared" si="14"/>
        <v>26</v>
      </c>
      <c r="J65" s="19">
        <f t="shared" si="1"/>
        <v>9</v>
      </c>
      <c r="K65" s="20">
        <f t="shared" si="2"/>
        <v>2023</v>
      </c>
      <c r="L65" s="17">
        <f t="shared" si="3"/>
        <v>13</v>
      </c>
      <c r="M65" s="17">
        <f t="shared" si="4"/>
        <v>13</v>
      </c>
      <c r="N65" s="17">
        <f t="shared" si="5"/>
        <v>13</v>
      </c>
      <c r="O65" s="17">
        <f t="shared" si="6"/>
        <v>16</v>
      </c>
      <c r="P65" s="17">
        <f t="shared" si="7"/>
        <v>9</v>
      </c>
      <c r="Q65" s="17">
        <f t="shared" si="8"/>
        <v>2023</v>
      </c>
      <c r="R65" s="17">
        <f t="shared" si="9"/>
        <v>9</v>
      </c>
      <c r="S65" s="17">
        <f t="shared" si="10"/>
        <v>9</v>
      </c>
      <c r="T65" s="17">
        <f t="shared" si="11"/>
        <v>9</v>
      </c>
      <c r="U65" s="17">
        <f>B64-D64</f>
        <v>10</v>
      </c>
      <c r="V65" s="17">
        <f>NETWORKDAYS.INTL(D64,B64,1)</f>
        <v>7</v>
      </c>
      <c r="W65" s="24">
        <f>B64+V65</f>
        <v>45202</v>
      </c>
      <c r="X65" s="23">
        <f t="shared" si="12"/>
        <v>45195.550844907404</v>
      </c>
      <c r="Y65" s="22">
        <f t="shared" si="13"/>
        <v>45185.381354166668</v>
      </c>
    </row>
    <row r="66" spans="1:25" x14ac:dyDescent="0.2">
      <c r="A66" s="1" t="s">
        <v>106</v>
      </c>
      <c r="B66" s="2">
        <v>45220</v>
      </c>
      <c r="C66" s="3">
        <v>0.63559027777777777</v>
      </c>
      <c r="D66" s="2">
        <v>45210</v>
      </c>
      <c r="E66" s="3">
        <v>0.29660879629629627</v>
      </c>
      <c r="F66" s="4" t="s">
        <v>41</v>
      </c>
      <c r="H66" s="17" t="str">
        <f t="shared" si="0"/>
        <v>Cliente064</v>
      </c>
      <c r="I66" s="18">
        <f t="shared" si="14"/>
        <v>6</v>
      </c>
      <c r="J66" s="19">
        <f t="shared" si="1"/>
        <v>10</v>
      </c>
      <c r="K66" s="20">
        <f t="shared" si="2"/>
        <v>2023</v>
      </c>
      <c r="L66" s="17">
        <f t="shared" si="3"/>
        <v>14</v>
      </c>
      <c r="M66" s="17">
        <f t="shared" si="4"/>
        <v>14</v>
      </c>
      <c r="N66" s="17">
        <f t="shared" si="5"/>
        <v>14</v>
      </c>
      <c r="O66" s="17">
        <f t="shared" si="6"/>
        <v>26</v>
      </c>
      <c r="P66" s="17">
        <f t="shared" si="7"/>
        <v>9</v>
      </c>
      <c r="Q66" s="17">
        <f t="shared" si="8"/>
        <v>2023</v>
      </c>
      <c r="R66" s="17">
        <f t="shared" si="9"/>
        <v>12</v>
      </c>
      <c r="S66" s="17">
        <f t="shared" si="10"/>
        <v>12</v>
      </c>
      <c r="T66" s="17">
        <f t="shared" si="11"/>
        <v>12</v>
      </c>
      <c r="U66" s="17">
        <f>B65-D65</f>
        <v>10</v>
      </c>
      <c r="V66" s="17">
        <f>NETWORKDAYS.INTL(D65,B65,1)</f>
        <v>9</v>
      </c>
      <c r="W66" s="24">
        <f>B65+V66</f>
        <v>45214</v>
      </c>
      <c r="X66" s="23">
        <f t="shared" si="12"/>
        <v>45205.593217592592</v>
      </c>
      <c r="Y66" s="22">
        <f t="shared" si="13"/>
        <v>45195.508472222224</v>
      </c>
    </row>
    <row r="67" spans="1:25" x14ac:dyDescent="0.2">
      <c r="A67" s="1" t="s">
        <v>107</v>
      </c>
      <c r="B67" s="2">
        <v>45232</v>
      </c>
      <c r="C67" s="3">
        <v>0.67796296296296299</v>
      </c>
      <c r="D67" s="2">
        <v>45222</v>
      </c>
      <c r="E67" s="3">
        <v>0.46609953703703705</v>
      </c>
      <c r="F67" s="4" t="s">
        <v>90</v>
      </c>
      <c r="H67" s="17" t="str">
        <f t="shared" si="0"/>
        <v>Cliente065</v>
      </c>
      <c r="I67" s="18">
        <f t="shared" si="14"/>
        <v>21</v>
      </c>
      <c r="J67" s="19">
        <f t="shared" si="1"/>
        <v>10</v>
      </c>
      <c r="K67" s="20">
        <f t="shared" si="2"/>
        <v>2023</v>
      </c>
      <c r="L67" s="17">
        <f t="shared" si="3"/>
        <v>15</v>
      </c>
      <c r="M67" s="17">
        <f t="shared" si="4"/>
        <v>15</v>
      </c>
      <c r="N67" s="17">
        <f t="shared" si="5"/>
        <v>15</v>
      </c>
      <c r="O67" s="17">
        <f t="shared" si="6"/>
        <v>11</v>
      </c>
      <c r="P67" s="17">
        <f t="shared" si="7"/>
        <v>10</v>
      </c>
      <c r="Q67" s="17">
        <f t="shared" si="8"/>
        <v>2023</v>
      </c>
      <c r="R67" s="17">
        <f t="shared" si="9"/>
        <v>7</v>
      </c>
      <c r="S67" s="17">
        <f t="shared" si="10"/>
        <v>7</v>
      </c>
      <c r="T67" s="17">
        <f t="shared" si="11"/>
        <v>7</v>
      </c>
      <c r="U67" s="17">
        <f>B66-D66</f>
        <v>10</v>
      </c>
      <c r="V67" s="17">
        <f>NETWORKDAYS.INTL(D66,B66,1)</f>
        <v>8</v>
      </c>
      <c r="W67" s="24">
        <f>B66+V67</f>
        <v>45228</v>
      </c>
      <c r="X67" s="23">
        <f t="shared" si="12"/>
        <v>45220.63559027778</v>
      </c>
      <c r="Y67" s="22">
        <f t="shared" si="13"/>
        <v>45210.2966087963</v>
      </c>
    </row>
    <row r="68" spans="1:25" x14ac:dyDescent="0.2">
      <c r="A68" s="1" t="s">
        <v>108</v>
      </c>
      <c r="B68" s="2">
        <v>45246</v>
      </c>
      <c r="C68" s="3">
        <v>0.42372685185185183</v>
      </c>
      <c r="D68" s="2">
        <v>45236</v>
      </c>
      <c r="E68" s="3">
        <v>0.55084490740740744</v>
      </c>
      <c r="F68" s="4" t="s">
        <v>79</v>
      </c>
      <c r="H68" s="17" t="str">
        <f t="shared" ref="H68:H91" si="15">A67</f>
        <v>Cliente066</v>
      </c>
      <c r="I68" s="18">
        <f t="shared" si="14"/>
        <v>2</v>
      </c>
      <c r="J68" s="19">
        <f t="shared" ref="J68:J102" si="16">MONTH(B67)</f>
        <v>11</v>
      </c>
      <c r="K68" s="20">
        <f t="shared" ref="K68:K102" si="17">YEAR(B67)</f>
        <v>2023</v>
      </c>
      <c r="L68" s="17">
        <f t="shared" ref="L68:L102" si="18">HOUR(C67)</f>
        <v>16</v>
      </c>
      <c r="M68" s="17">
        <f t="shared" ref="M68:M102" si="19">MINUTE(C67)</f>
        <v>16</v>
      </c>
      <c r="N68" s="17">
        <f t="shared" ref="N68:N102" si="20">SECOND(C67)</f>
        <v>16</v>
      </c>
      <c r="O68" s="17">
        <f t="shared" ref="O68:O102" si="21">DAY(D67)</f>
        <v>23</v>
      </c>
      <c r="P68" s="17">
        <f t="shared" ref="P68:P102" si="22">MONTH(D67)</f>
        <v>10</v>
      </c>
      <c r="Q68" s="17">
        <f t="shared" ref="Q68:Q91" si="23">YEAR(D67)</f>
        <v>2023</v>
      </c>
      <c r="R68" s="17">
        <f t="shared" ref="R68:R102" si="24">HOUR(E67)</f>
        <v>11</v>
      </c>
      <c r="S68" s="17">
        <f t="shared" ref="S68:S102" si="25">MINUTE(E67)</f>
        <v>11</v>
      </c>
      <c r="T68" s="17">
        <f t="shared" ref="T68:T102" si="26">SECOND(E67)</f>
        <v>11</v>
      </c>
      <c r="U68" s="17">
        <f>B67-D67</f>
        <v>10</v>
      </c>
      <c r="V68" s="17">
        <f>NETWORKDAYS.INTL(D67,B67,1)</f>
        <v>9</v>
      </c>
      <c r="W68" s="24">
        <f>B67+V68</f>
        <v>45241</v>
      </c>
      <c r="X68" s="23">
        <f t="shared" ref="X68:X102" si="27">B67+C67</f>
        <v>45232.67796296296</v>
      </c>
      <c r="Y68" s="22">
        <f t="shared" ref="Y68:Y102" si="28">D67+E67</f>
        <v>45222.466099537036</v>
      </c>
    </row>
    <row r="69" spans="1:25" x14ac:dyDescent="0.2">
      <c r="A69" s="1" t="s">
        <v>109</v>
      </c>
      <c r="B69" s="2">
        <v>45259</v>
      </c>
      <c r="C69" s="3">
        <v>0.38135416666666666</v>
      </c>
      <c r="D69" s="2">
        <v>45249</v>
      </c>
      <c r="E69" s="3">
        <v>0.59321759259259255</v>
      </c>
      <c r="F69" s="4" t="s">
        <v>15</v>
      </c>
      <c r="H69" s="17" t="str">
        <f t="shared" si="15"/>
        <v>Cliente067</v>
      </c>
      <c r="I69" s="18">
        <f t="shared" ref="I69:I102" si="29">DAY(B68)</f>
        <v>16</v>
      </c>
      <c r="J69" s="19">
        <f t="shared" si="16"/>
        <v>11</v>
      </c>
      <c r="K69" s="20">
        <f t="shared" si="17"/>
        <v>2023</v>
      </c>
      <c r="L69" s="17">
        <f t="shared" si="18"/>
        <v>10</v>
      </c>
      <c r="M69" s="17">
        <f t="shared" si="19"/>
        <v>10</v>
      </c>
      <c r="N69" s="17">
        <f t="shared" si="20"/>
        <v>10</v>
      </c>
      <c r="O69" s="17">
        <f t="shared" si="21"/>
        <v>6</v>
      </c>
      <c r="P69" s="17">
        <f t="shared" si="22"/>
        <v>11</v>
      </c>
      <c r="Q69" s="17">
        <f t="shared" si="23"/>
        <v>2023</v>
      </c>
      <c r="R69" s="17">
        <f t="shared" si="24"/>
        <v>13</v>
      </c>
      <c r="S69" s="17">
        <f t="shared" si="25"/>
        <v>13</v>
      </c>
      <c r="T69" s="17">
        <f t="shared" si="26"/>
        <v>13</v>
      </c>
      <c r="U69" s="17">
        <f>B68-D68</f>
        <v>10</v>
      </c>
      <c r="V69" s="17">
        <f>NETWORKDAYS.INTL(D68,B68,1)</f>
        <v>9</v>
      </c>
      <c r="W69" s="24">
        <f>B68+V69</f>
        <v>45255</v>
      </c>
      <c r="X69" s="23">
        <f t="shared" si="27"/>
        <v>45246.423726851855</v>
      </c>
      <c r="Y69" s="22">
        <f t="shared" si="28"/>
        <v>45236.550844907404</v>
      </c>
    </row>
    <row r="70" spans="1:25" x14ac:dyDescent="0.2">
      <c r="A70" s="1" t="s">
        <v>110</v>
      </c>
      <c r="B70" s="2">
        <v>45271</v>
      </c>
      <c r="C70" s="3">
        <v>0.33898148148148149</v>
      </c>
      <c r="D70" s="2">
        <v>45260</v>
      </c>
      <c r="E70" s="3">
        <v>0.63559027777777777</v>
      </c>
      <c r="F70" s="4" t="s">
        <v>41</v>
      </c>
      <c r="H70" s="17" t="str">
        <f t="shared" si="15"/>
        <v>Cliente068</v>
      </c>
      <c r="I70" s="18">
        <f t="shared" si="29"/>
        <v>29</v>
      </c>
      <c r="J70" s="19">
        <f t="shared" si="16"/>
        <v>11</v>
      </c>
      <c r="K70" s="20">
        <f t="shared" si="17"/>
        <v>2023</v>
      </c>
      <c r="L70" s="17">
        <f t="shared" si="18"/>
        <v>9</v>
      </c>
      <c r="M70" s="17">
        <f t="shared" si="19"/>
        <v>9</v>
      </c>
      <c r="N70" s="17">
        <f t="shared" si="20"/>
        <v>9</v>
      </c>
      <c r="O70" s="17">
        <f t="shared" si="21"/>
        <v>19</v>
      </c>
      <c r="P70" s="17">
        <f t="shared" si="22"/>
        <v>11</v>
      </c>
      <c r="Q70" s="17">
        <f t="shared" si="23"/>
        <v>2023</v>
      </c>
      <c r="R70" s="17">
        <f t="shared" si="24"/>
        <v>14</v>
      </c>
      <c r="S70" s="17">
        <f t="shared" si="25"/>
        <v>14</v>
      </c>
      <c r="T70" s="17">
        <f t="shared" si="26"/>
        <v>14</v>
      </c>
      <c r="U70" s="17">
        <f>B69-D69</f>
        <v>10</v>
      </c>
      <c r="V70" s="17">
        <f>NETWORKDAYS.INTL(D69,B69,1)</f>
        <v>8</v>
      </c>
      <c r="W70" s="24">
        <f>B69+V70</f>
        <v>45267</v>
      </c>
      <c r="X70" s="23">
        <f t="shared" si="27"/>
        <v>45259.381354166668</v>
      </c>
      <c r="Y70" s="22">
        <f t="shared" si="28"/>
        <v>45249.593217592592</v>
      </c>
    </row>
    <row r="71" spans="1:25" x14ac:dyDescent="0.2">
      <c r="A71" s="1" t="s">
        <v>111</v>
      </c>
      <c r="B71" s="2">
        <v>45281</v>
      </c>
      <c r="C71" s="3">
        <v>0.50847222222222221</v>
      </c>
      <c r="D71" s="2">
        <v>45266</v>
      </c>
      <c r="E71" s="3">
        <v>0.38135416666666666</v>
      </c>
      <c r="F71" s="4" t="s">
        <v>61</v>
      </c>
      <c r="H71" s="17" t="str">
        <f t="shared" si="15"/>
        <v>Cliente069</v>
      </c>
      <c r="I71" s="18">
        <f t="shared" si="29"/>
        <v>11</v>
      </c>
      <c r="J71" s="19">
        <f t="shared" si="16"/>
        <v>12</v>
      </c>
      <c r="K71" s="20">
        <f t="shared" si="17"/>
        <v>2023</v>
      </c>
      <c r="L71" s="17">
        <f t="shared" si="18"/>
        <v>8</v>
      </c>
      <c r="M71" s="17">
        <f t="shared" si="19"/>
        <v>8</v>
      </c>
      <c r="N71" s="17">
        <f t="shared" si="20"/>
        <v>8</v>
      </c>
      <c r="O71" s="17">
        <f t="shared" si="21"/>
        <v>30</v>
      </c>
      <c r="P71" s="17">
        <f t="shared" si="22"/>
        <v>11</v>
      </c>
      <c r="Q71" s="17">
        <f t="shared" si="23"/>
        <v>2023</v>
      </c>
      <c r="R71" s="17">
        <f t="shared" si="24"/>
        <v>15</v>
      </c>
      <c r="S71" s="17">
        <f t="shared" si="25"/>
        <v>15</v>
      </c>
      <c r="T71" s="17">
        <f t="shared" si="26"/>
        <v>15</v>
      </c>
      <c r="U71" s="17">
        <f>B70-D70</f>
        <v>11</v>
      </c>
      <c r="V71" s="17">
        <f>NETWORKDAYS.INTL(D70,B70,1)</f>
        <v>8</v>
      </c>
      <c r="W71" s="24">
        <f>B70+V71</f>
        <v>45279</v>
      </c>
      <c r="X71" s="23">
        <f t="shared" si="27"/>
        <v>45271.33898148148</v>
      </c>
      <c r="Y71" s="22">
        <f t="shared" si="28"/>
        <v>45260.63559027778</v>
      </c>
    </row>
    <row r="72" spans="1:25" x14ac:dyDescent="0.2">
      <c r="A72" s="1" t="s">
        <v>112</v>
      </c>
      <c r="B72" s="2">
        <v>44938</v>
      </c>
      <c r="C72" s="3">
        <v>0.46609953703703705</v>
      </c>
      <c r="D72" s="2">
        <v>44929</v>
      </c>
      <c r="E72" s="3">
        <v>0.33898148148148149</v>
      </c>
      <c r="F72" s="4" t="s">
        <v>63</v>
      </c>
      <c r="H72" s="17" t="str">
        <f t="shared" si="15"/>
        <v>Cliente070</v>
      </c>
      <c r="I72" s="18">
        <f t="shared" si="29"/>
        <v>21</v>
      </c>
      <c r="J72" s="19">
        <f t="shared" si="16"/>
        <v>12</v>
      </c>
      <c r="K72" s="20">
        <f t="shared" si="17"/>
        <v>2023</v>
      </c>
      <c r="L72" s="17">
        <f t="shared" si="18"/>
        <v>12</v>
      </c>
      <c r="M72" s="17">
        <f t="shared" si="19"/>
        <v>12</v>
      </c>
      <c r="N72" s="17">
        <f t="shared" si="20"/>
        <v>12</v>
      </c>
      <c r="O72" s="17">
        <f t="shared" si="21"/>
        <v>6</v>
      </c>
      <c r="P72" s="17">
        <f t="shared" si="22"/>
        <v>12</v>
      </c>
      <c r="Q72" s="17">
        <f t="shared" si="23"/>
        <v>2023</v>
      </c>
      <c r="R72" s="17">
        <f t="shared" si="24"/>
        <v>9</v>
      </c>
      <c r="S72" s="17">
        <f t="shared" si="25"/>
        <v>9</v>
      </c>
      <c r="T72" s="17">
        <f t="shared" si="26"/>
        <v>9</v>
      </c>
      <c r="U72" s="17">
        <f>B71-D71</f>
        <v>15</v>
      </c>
      <c r="V72" s="17">
        <f>NETWORKDAYS.INTL(D71,B71,1)</f>
        <v>12</v>
      </c>
      <c r="W72" s="24">
        <f>B71+V72</f>
        <v>45293</v>
      </c>
      <c r="X72" s="23">
        <f t="shared" si="27"/>
        <v>45281.508472222224</v>
      </c>
      <c r="Y72" s="22">
        <f t="shared" si="28"/>
        <v>45266.381354166668</v>
      </c>
    </row>
    <row r="73" spans="1:25" x14ac:dyDescent="0.2">
      <c r="A73" s="1" t="s">
        <v>113</v>
      </c>
      <c r="B73" s="2">
        <v>44953</v>
      </c>
      <c r="C73" s="3">
        <v>0.55084490740740744</v>
      </c>
      <c r="D73" s="2">
        <v>44943</v>
      </c>
      <c r="E73" s="3">
        <v>0.42372685185185183</v>
      </c>
      <c r="F73" s="4" t="s">
        <v>65</v>
      </c>
      <c r="H73" s="17" t="str">
        <f t="shared" si="15"/>
        <v>Cliente071</v>
      </c>
      <c r="I73" s="18">
        <f t="shared" si="29"/>
        <v>12</v>
      </c>
      <c r="J73" s="19">
        <f t="shared" si="16"/>
        <v>1</v>
      </c>
      <c r="K73" s="20">
        <f t="shared" si="17"/>
        <v>2023</v>
      </c>
      <c r="L73" s="17">
        <f t="shared" si="18"/>
        <v>11</v>
      </c>
      <c r="M73" s="17">
        <f t="shared" si="19"/>
        <v>11</v>
      </c>
      <c r="N73" s="17">
        <f t="shared" si="20"/>
        <v>11</v>
      </c>
      <c r="O73" s="17">
        <f t="shared" si="21"/>
        <v>3</v>
      </c>
      <c r="P73" s="17">
        <f t="shared" si="22"/>
        <v>1</v>
      </c>
      <c r="Q73" s="17">
        <f t="shared" si="23"/>
        <v>2023</v>
      </c>
      <c r="R73" s="17">
        <f t="shared" si="24"/>
        <v>8</v>
      </c>
      <c r="S73" s="17">
        <f t="shared" si="25"/>
        <v>8</v>
      </c>
      <c r="T73" s="17">
        <f t="shared" si="26"/>
        <v>8</v>
      </c>
      <c r="U73" s="17">
        <f>B72-D72</f>
        <v>9</v>
      </c>
      <c r="V73" s="17">
        <f>NETWORKDAYS.INTL(D72,B72,1)</f>
        <v>8</v>
      </c>
      <c r="W73" s="24">
        <f>B72+V73</f>
        <v>44946</v>
      </c>
      <c r="X73" s="23">
        <f t="shared" si="27"/>
        <v>44938.466099537036</v>
      </c>
      <c r="Y73" s="22">
        <f t="shared" si="28"/>
        <v>44929.33898148148</v>
      </c>
    </row>
    <row r="74" spans="1:25" x14ac:dyDescent="0.2">
      <c r="A74" s="1" t="s">
        <v>114</v>
      </c>
      <c r="B74" s="2">
        <v>44964</v>
      </c>
      <c r="C74" s="3">
        <v>0.59321759259259255</v>
      </c>
      <c r="D74" s="2">
        <v>44954</v>
      </c>
      <c r="E74" s="3">
        <v>0.55084490740740744</v>
      </c>
      <c r="F74" s="4" t="s">
        <v>17</v>
      </c>
      <c r="H74" s="17" t="str">
        <f t="shared" si="15"/>
        <v>Cliente072</v>
      </c>
      <c r="I74" s="18">
        <f t="shared" si="29"/>
        <v>27</v>
      </c>
      <c r="J74" s="19">
        <f t="shared" si="16"/>
        <v>1</v>
      </c>
      <c r="K74" s="20">
        <f t="shared" si="17"/>
        <v>2023</v>
      </c>
      <c r="L74" s="17">
        <f t="shared" si="18"/>
        <v>13</v>
      </c>
      <c r="M74" s="17">
        <f t="shared" si="19"/>
        <v>13</v>
      </c>
      <c r="N74" s="17">
        <f t="shared" si="20"/>
        <v>13</v>
      </c>
      <c r="O74" s="17">
        <f t="shared" si="21"/>
        <v>17</v>
      </c>
      <c r="P74" s="17">
        <f t="shared" si="22"/>
        <v>1</v>
      </c>
      <c r="Q74" s="17">
        <f t="shared" si="23"/>
        <v>2023</v>
      </c>
      <c r="R74" s="17">
        <f t="shared" si="24"/>
        <v>10</v>
      </c>
      <c r="S74" s="17">
        <f t="shared" si="25"/>
        <v>10</v>
      </c>
      <c r="T74" s="17">
        <f t="shared" si="26"/>
        <v>10</v>
      </c>
      <c r="U74" s="17">
        <f>B73-D73</f>
        <v>10</v>
      </c>
      <c r="V74" s="17">
        <f>NETWORKDAYS.INTL(D73,B73,1)</f>
        <v>9</v>
      </c>
      <c r="W74" s="24">
        <f>B73+V74</f>
        <v>44962</v>
      </c>
      <c r="X74" s="23">
        <f t="shared" si="27"/>
        <v>44953.550844907404</v>
      </c>
      <c r="Y74" s="22">
        <f t="shared" si="28"/>
        <v>44943.423726851855</v>
      </c>
    </row>
    <row r="75" spans="1:25" x14ac:dyDescent="0.2">
      <c r="A75" s="1" t="s">
        <v>115</v>
      </c>
      <c r="B75" s="2">
        <v>44979</v>
      </c>
      <c r="C75" s="3">
        <v>0.63559027777777777</v>
      </c>
      <c r="D75" s="2">
        <v>44969</v>
      </c>
      <c r="E75" s="3">
        <v>0.38135416666666666</v>
      </c>
      <c r="F75" s="4" t="s">
        <v>90</v>
      </c>
      <c r="H75" s="17" t="str">
        <f t="shared" si="15"/>
        <v>Cliente073</v>
      </c>
      <c r="I75" s="18">
        <f t="shared" si="29"/>
        <v>7</v>
      </c>
      <c r="J75" s="19">
        <f t="shared" si="16"/>
        <v>2</v>
      </c>
      <c r="K75" s="20">
        <f t="shared" si="17"/>
        <v>2023</v>
      </c>
      <c r="L75" s="17">
        <f t="shared" si="18"/>
        <v>14</v>
      </c>
      <c r="M75" s="17">
        <f t="shared" si="19"/>
        <v>14</v>
      </c>
      <c r="N75" s="17">
        <f t="shared" si="20"/>
        <v>14</v>
      </c>
      <c r="O75" s="17">
        <f t="shared" si="21"/>
        <v>28</v>
      </c>
      <c r="P75" s="17">
        <f t="shared" si="22"/>
        <v>1</v>
      </c>
      <c r="Q75" s="17">
        <f t="shared" si="23"/>
        <v>2023</v>
      </c>
      <c r="R75" s="17">
        <f t="shared" si="24"/>
        <v>13</v>
      </c>
      <c r="S75" s="17">
        <f t="shared" si="25"/>
        <v>13</v>
      </c>
      <c r="T75" s="17">
        <f t="shared" si="26"/>
        <v>13</v>
      </c>
      <c r="U75" s="17">
        <f>B74-D74</f>
        <v>10</v>
      </c>
      <c r="V75" s="17">
        <f>NETWORKDAYS.INTL(D74,B74,1)</f>
        <v>7</v>
      </c>
      <c r="W75" s="24">
        <f>B74+V75</f>
        <v>44971</v>
      </c>
      <c r="X75" s="23">
        <f t="shared" si="27"/>
        <v>44964.593217592592</v>
      </c>
      <c r="Y75" s="22">
        <f t="shared" si="28"/>
        <v>44954.550844907404</v>
      </c>
    </row>
    <row r="76" spans="1:25" x14ac:dyDescent="0.2">
      <c r="A76" s="1" t="s">
        <v>116</v>
      </c>
      <c r="B76" s="2">
        <v>44997</v>
      </c>
      <c r="C76" s="3">
        <v>0.42372685185185183</v>
      </c>
      <c r="D76" s="2">
        <v>44986</v>
      </c>
      <c r="E76" s="3">
        <v>0.29660879629629627</v>
      </c>
      <c r="F76" s="4" t="s">
        <v>15</v>
      </c>
      <c r="H76" s="17" t="str">
        <f t="shared" si="15"/>
        <v>Cliente074</v>
      </c>
      <c r="I76" s="18">
        <f t="shared" si="29"/>
        <v>22</v>
      </c>
      <c r="J76" s="19">
        <f t="shared" si="16"/>
        <v>2</v>
      </c>
      <c r="K76" s="20">
        <f t="shared" si="17"/>
        <v>2023</v>
      </c>
      <c r="L76" s="17">
        <f t="shared" si="18"/>
        <v>15</v>
      </c>
      <c r="M76" s="17">
        <f t="shared" si="19"/>
        <v>15</v>
      </c>
      <c r="N76" s="17">
        <f t="shared" si="20"/>
        <v>15</v>
      </c>
      <c r="O76" s="17">
        <f t="shared" si="21"/>
        <v>12</v>
      </c>
      <c r="P76" s="17">
        <f t="shared" si="22"/>
        <v>2</v>
      </c>
      <c r="Q76" s="17">
        <f t="shared" si="23"/>
        <v>2023</v>
      </c>
      <c r="R76" s="17">
        <f t="shared" si="24"/>
        <v>9</v>
      </c>
      <c r="S76" s="17">
        <f t="shared" si="25"/>
        <v>9</v>
      </c>
      <c r="T76" s="17">
        <f t="shared" si="26"/>
        <v>9</v>
      </c>
      <c r="U76" s="17">
        <f>B75-D75</f>
        <v>10</v>
      </c>
      <c r="V76" s="17">
        <f>NETWORKDAYS.INTL(D75,B75,1)</f>
        <v>8</v>
      </c>
      <c r="W76" s="24">
        <f>B75+V76</f>
        <v>44987</v>
      </c>
      <c r="X76" s="23">
        <f t="shared" si="27"/>
        <v>44979.63559027778</v>
      </c>
      <c r="Y76" s="22">
        <f t="shared" si="28"/>
        <v>44969.381354166668</v>
      </c>
    </row>
    <row r="77" spans="1:25" x14ac:dyDescent="0.2">
      <c r="A77" s="1" t="s">
        <v>117</v>
      </c>
      <c r="B77" s="2">
        <v>45012</v>
      </c>
      <c r="C77" s="3">
        <v>0.46609953703703705</v>
      </c>
      <c r="D77" s="2">
        <v>45001</v>
      </c>
      <c r="E77" s="3">
        <v>0.46609953703703705</v>
      </c>
      <c r="F77" s="4" t="s">
        <v>49</v>
      </c>
      <c r="H77" s="17" t="str">
        <f t="shared" si="15"/>
        <v>Cliente075</v>
      </c>
      <c r="I77" s="18">
        <f t="shared" si="29"/>
        <v>12</v>
      </c>
      <c r="J77" s="19">
        <f t="shared" si="16"/>
        <v>3</v>
      </c>
      <c r="K77" s="20">
        <f t="shared" si="17"/>
        <v>2023</v>
      </c>
      <c r="L77" s="17">
        <f t="shared" si="18"/>
        <v>10</v>
      </c>
      <c r="M77" s="17">
        <f t="shared" si="19"/>
        <v>10</v>
      </c>
      <c r="N77" s="17">
        <f t="shared" si="20"/>
        <v>10</v>
      </c>
      <c r="O77" s="17">
        <f t="shared" si="21"/>
        <v>1</v>
      </c>
      <c r="P77" s="17">
        <f t="shared" si="22"/>
        <v>3</v>
      </c>
      <c r="Q77" s="17">
        <f t="shared" si="23"/>
        <v>2023</v>
      </c>
      <c r="R77" s="17">
        <f t="shared" si="24"/>
        <v>7</v>
      </c>
      <c r="S77" s="17">
        <f t="shared" si="25"/>
        <v>7</v>
      </c>
      <c r="T77" s="17">
        <f t="shared" si="26"/>
        <v>7</v>
      </c>
      <c r="U77" s="17">
        <f>B76-D76</f>
        <v>11</v>
      </c>
      <c r="V77" s="17">
        <f>NETWORKDAYS.INTL(D76,B76,1)</f>
        <v>8</v>
      </c>
      <c r="W77" s="24">
        <f>B76+V77</f>
        <v>45005</v>
      </c>
      <c r="X77" s="23">
        <f t="shared" si="27"/>
        <v>44997.423726851855</v>
      </c>
      <c r="Y77" s="22">
        <f t="shared" si="28"/>
        <v>44986.2966087963</v>
      </c>
    </row>
    <row r="78" spans="1:25" x14ac:dyDescent="0.2">
      <c r="A78" s="1" t="s">
        <v>118</v>
      </c>
      <c r="B78" s="2">
        <v>45023</v>
      </c>
      <c r="C78" s="3">
        <v>0.38135416666666666</v>
      </c>
      <c r="D78" s="2">
        <v>45012</v>
      </c>
      <c r="E78" s="3">
        <v>0.59321759259259255</v>
      </c>
      <c r="F78" s="4" t="s">
        <v>41</v>
      </c>
      <c r="H78" s="17" t="str">
        <f t="shared" si="15"/>
        <v>Cliente076</v>
      </c>
      <c r="I78" s="18">
        <f t="shared" si="29"/>
        <v>27</v>
      </c>
      <c r="J78" s="19">
        <f t="shared" si="16"/>
        <v>3</v>
      </c>
      <c r="K78" s="20">
        <f t="shared" si="17"/>
        <v>2023</v>
      </c>
      <c r="L78" s="17">
        <f t="shared" si="18"/>
        <v>11</v>
      </c>
      <c r="M78" s="17">
        <f t="shared" si="19"/>
        <v>11</v>
      </c>
      <c r="N78" s="17">
        <f t="shared" si="20"/>
        <v>11</v>
      </c>
      <c r="O78" s="17">
        <f t="shared" si="21"/>
        <v>16</v>
      </c>
      <c r="P78" s="17">
        <f t="shared" si="22"/>
        <v>3</v>
      </c>
      <c r="Q78" s="17">
        <f t="shared" si="23"/>
        <v>2023</v>
      </c>
      <c r="R78" s="17">
        <f t="shared" si="24"/>
        <v>11</v>
      </c>
      <c r="S78" s="17">
        <f t="shared" si="25"/>
        <v>11</v>
      </c>
      <c r="T78" s="17">
        <f t="shared" si="26"/>
        <v>11</v>
      </c>
      <c r="U78" s="17">
        <f>B77-D77</f>
        <v>11</v>
      </c>
      <c r="V78" s="17">
        <f>NETWORKDAYS.INTL(D77,B77,1)</f>
        <v>8</v>
      </c>
      <c r="W78" s="24">
        <f>B77+V78</f>
        <v>45020</v>
      </c>
      <c r="X78" s="23">
        <f t="shared" si="27"/>
        <v>45012.466099537036</v>
      </c>
      <c r="Y78" s="22">
        <f t="shared" si="28"/>
        <v>45001.466099537036</v>
      </c>
    </row>
    <row r="79" spans="1:25" x14ac:dyDescent="0.2">
      <c r="A79" s="1" t="s">
        <v>119</v>
      </c>
      <c r="B79" s="2">
        <v>45038</v>
      </c>
      <c r="C79" s="3">
        <v>0.33898148148148149</v>
      </c>
      <c r="D79" s="2">
        <v>45028</v>
      </c>
      <c r="E79" s="3">
        <v>0.63559027777777777</v>
      </c>
      <c r="F79" s="4" t="s">
        <v>63</v>
      </c>
      <c r="H79" s="17" t="str">
        <f t="shared" si="15"/>
        <v>Cliente077</v>
      </c>
      <c r="I79" s="18">
        <f t="shared" si="29"/>
        <v>7</v>
      </c>
      <c r="J79" s="19">
        <f t="shared" si="16"/>
        <v>4</v>
      </c>
      <c r="K79" s="20">
        <f t="shared" si="17"/>
        <v>2023</v>
      </c>
      <c r="L79" s="17">
        <f t="shared" si="18"/>
        <v>9</v>
      </c>
      <c r="M79" s="17">
        <f t="shared" si="19"/>
        <v>9</v>
      </c>
      <c r="N79" s="17">
        <f t="shared" si="20"/>
        <v>9</v>
      </c>
      <c r="O79" s="17">
        <f t="shared" si="21"/>
        <v>27</v>
      </c>
      <c r="P79" s="17">
        <f t="shared" si="22"/>
        <v>3</v>
      </c>
      <c r="Q79" s="17">
        <f t="shared" si="23"/>
        <v>2023</v>
      </c>
      <c r="R79" s="17">
        <f t="shared" si="24"/>
        <v>14</v>
      </c>
      <c r="S79" s="17">
        <f t="shared" si="25"/>
        <v>14</v>
      </c>
      <c r="T79" s="17">
        <f t="shared" si="26"/>
        <v>14</v>
      </c>
      <c r="U79" s="17">
        <f>B78-D78</f>
        <v>11</v>
      </c>
      <c r="V79" s="17">
        <f>NETWORKDAYS.INTL(D78,B78,1)</f>
        <v>10</v>
      </c>
      <c r="W79" s="24">
        <f>B78+V79</f>
        <v>45033</v>
      </c>
      <c r="X79" s="23">
        <f t="shared" si="27"/>
        <v>45023.381354166668</v>
      </c>
      <c r="Y79" s="22">
        <f t="shared" si="28"/>
        <v>45012.593217592592</v>
      </c>
    </row>
    <row r="80" spans="1:25" x14ac:dyDescent="0.2">
      <c r="A80" s="1" t="s">
        <v>120</v>
      </c>
      <c r="B80" s="2">
        <v>45050</v>
      </c>
      <c r="C80" s="3">
        <v>0.50847222222222221</v>
      </c>
      <c r="D80" s="2">
        <v>45037</v>
      </c>
      <c r="E80" s="3">
        <v>0.38135416666666666</v>
      </c>
      <c r="F80" s="4" t="s">
        <v>15</v>
      </c>
      <c r="H80" s="17" t="str">
        <f t="shared" si="15"/>
        <v>Cliente078</v>
      </c>
      <c r="I80" s="18">
        <f t="shared" si="29"/>
        <v>22</v>
      </c>
      <c r="J80" s="19">
        <f t="shared" si="16"/>
        <v>4</v>
      </c>
      <c r="K80" s="20">
        <f t="shared" si="17"/>
        <v>2023</v>
      </c>
      <c r="L80" s="17">
        <f t="shared" si="18"/>
        <v>8</v>
      </c>
      <c r="M80" s="17">
        <f t="shared" si="19"/>
        <v>8</v>
      </c>
      <c r="N80" s="17">
        <f t="shared" si="20"/>
        <v>8</v>
      </c>
      <c r="O80" s="17">
        <f t="shared" si="21"/>
        <v>12</v>
      </c>
      <c r="P80" s="17">
        <f t="shared" si="22"/>
        <v>4</v>
      </c>
      <c r="Q80" s="17">
        <f t="shared" si="23"/>
        <v>2023</v>
      </c>
      <c r="R80" s="17">
        <f t="shared" si="24"/>
        <v>15</v>
      </c>
      <c r="S80" s="17">
        <f t="shared" si="25"/>
        <v>15</v>
      </c>
      <c r="T80" s="17">
        <f t="shared" si="26"/>
        <v>15</v>
      </c>
      <c r="U80" s="17">
        <f>B79-D79</f>
        <v>10</v>
      </c>
      <c r="V80" s="17">
        <f>NETWORKDAYS.INTL(D79,B79,1)</f>
        <v>8</v>
      </c>
      <c r="W80" s="24">
        <f>B79+V80</f>
        <v>45046</v>
      </c>
      <c r="X80" s="23">
        <f t="shared" si="27"/>
        <v>45038.33898148148</v>
      </c>
      <c r="Y80" s="22">
        <f t="shared" si="28"/>
        <v>45028.63559027778</v>
      </c>
    </row>
    <row r="81" spans="1:25" x14ac:dyDescent="0.2">
      <c r="A81" s="1" t="s">
        <v>121</v>
      </c>
      <c r="B81" s="2">
        <v>45065</v>
      </c>
      <c r="C81" s="3">
        <v>0.55084490740740744</v>
      </c>
      <c r="D81" s="2">
        <v>45055</v>
      </c>
      <c r="E81" s="3">
        <v>0.55084490740740744</v>
      </c>
      <c r="F81" s="4" t="s">
        <v>90</v>
      </c>
      <c r="H81" s="17" t="str">
        <f t="shared" si="15"/>
        <v>Cliente079</v>
      </c>
      <c r="I81" s="18">
        <f t="shared" si="29"/>
        <v>4</v>
      </c>
      <c r="J81" s="19">
        <f t="shared" si="16"/>
        <v>5</v>
      </c>
      <c r="K81" s="20">
        <f t="shared" si="17"/>
        <v>2023</v>
      </c>
      <c r="L81" s="17">
        <f t="shared" si="18"/>
        <v>12</v>
      </c>
      <c r="M81" s="17">
        <f t="shared" si="19"/>
        <v>12</v>
      </c>
      <c r="N81" s="17">
        <f t="shared" si="20"/>
        <v>12</v>
      </c>
      <c r="O81" s="17">
        <f t="shared" si="21"/>
        <v>21</v>
      </c>
      <c r="P81" s="17">
        <f t="shared" si="22"/>
        <v>4</v>
      </c>
      <c r="Q81" s="17">
        <f t="shared" si="23"/>
        <v>2023</v>
      </c>
      <c r="R81" s="17">
        <f t="shared" si="24"/>
        <v>9</v>
      </c>
      <c r="S81" s="17">
        <f t="shared" si="25"/>
        <v>9</v>
      </c>
      <c r="T81" s="17">
        <f t="shared" si="26"/>
        <v>9</v>
      </c>
      <c r="U81" s="17">
        <f>B80-D80</f>
        <v>13</v>
      </c>
      <c r="V81" s="17">
        <f>NETWORKDAYS.INTL(D80,B80,1)</f>
        <v>10</v>
      </c>
      <c r="W81" s="24">
        <f>B80+V81</f>
        <v>45060</v>
      </c>
      <c r="X81" s="23">
        <f t="shared" si="27"/>
        <v>45050.508472222224</v>
      </c>
      <c r="Y81" s="22">
        <f t="shared" si="28"/>
        <v>45037.381354166668</v>
      </c>
    </row>
    <row r="82" spans="1:25" x14ac:dyDescent="0.2">
      <c r="A82" s="1" t="s">
        <v>122</v>
      </c>
      <c r="B82" s="2">
        <v>45091</v>
      </c>
      <c r="C82" s="3">
        <v>0.59321759259259255</v>
      </c>
      <c r="D82" s="2">
        <v>45080</v>
      </c>
      <c r="E82" s="3">
        <v>0.50847222222222221</v>
      </c>
      <c r="F82" s="4" t="s">
        <v>61</v>
      </c>
      <c r="H82" s="17" t="str">
        <f t="shared" si="15"/>
        <v>Cliente080</v>
      </c>
      <c r="I82" s="18">
        <f t="shared" si="29"/>
        <v>19</v>
      </c>
      <c r="J82" s="19">
        <f t="shared" si="16"/>
        <v>5</v>
      </c>
      <c r="K82" s="20">
        <f t="shared" si="17"/>
        <v>2023</v>
      </c>
      <c r="L82" s="17">
        <f t="shared" si="18"/>
        <v>13</v>
      </c>
      <c r="M82" s="17">
        <f t="shared" si="19"/>
        <v>13</v>
      </c>
      <c r="N82" s="17">
        <f t="shared" si="20"/>
        <v>13</v>
      </c>
      <c r="O82" s="17">
        <f t="shared" si="21"/>
        <v>9</v>
      </c>
      <c r="P82" s="17">
        <f t="shared" si="22"/>
        <v>5</v>
      </c>
      <c r="Q82" s="17">
        <f t="shared" si="23"/>
        <v>2023</v>
      </c>
      <c r="R82" s="17">
        <f t="shared" si="24"/>
        <v>13</v>
      </c>
      <c r="S82" s="17">
        <f t="shared" si="25"/>
        <v>13</v>
      </c>
      <c r="T82" s="17">
        <f t="shared" si="26"/>
        <v>13</v>
      </c>
      <c r="U82" s="17">
        <f>B81-D81</f>
        <v>10</v>
      </c>
      <c r="V82" s="17">
        <f>NETWORKDAYS.INTL(D81,B81,1)</f>
        <v>9</v>
      </c>
      <c r="W82" s="24">
        <f>B81+V82</f>
        <v>45074</v>
      </c>
      <c r="X82" s="23">
        <f t="shared" si="27"/>
        <v>45065.550844907404</v>
      </c>
      <c r="Y82" s="22">
        <f t="shared" si="28"/>
        <v>45055.550844907404</v>
      </c>
    </row>
    <row r="83" spans="1:25" x14ac:dyDescent="0.2">
      <c r="A83" s="1" t="s">
        <v>123</v>
      </c>
      <c r="B83" s="2">
        <v>45105</v>
      </c>
      <c r="C83" s="3">
        <v>0.63559027777777777</v>
      </c>
      <c r="D83" s="2">
        <v>45095</v>
      </c>
      <c r="E83" s="3">
        <v>0.33898148148148149</v>
      </c>
      <c r="F83" s="4" t="s">
        <v>124</v>
      </c>
      <c r="H83" s="17" t="str">
        <f t="shared" si="15"/>
        <v>Cliente081</v>
      </c>
      <c r="I83" s="18">
        <f t="shared" si="29"/>
        <v>14</v>
      </c>
      <c r="J83" s="19">
        <f t="shared" si="16"/>
        <v>6</v>
      </c>
      <c r="K83" s="20">
        <f t="shared" si="17"/>
        <v>2023</v>
      </c>
      <c r="L83" s="17">
        <f t="shared" si="18"/>
        <v>14</v>
      </c>
      <c r="M83" s="17">
        <f t="shared" si="19"/>
        <v>14</v>
      </c>
      <c r="N83" s="17">
        <f t="shared" si="20"/>
        <v>14</v>
      </c>
      <c r="O83" s="17">
        <f t="shared" si="21"/>
        <v>3</v>
      </c>
      <c r="P83" s="17">
        <f t="shared" si="22"/>
        <v>6</v>
      </c>
      <c r="Q83" s="17">
        <f t="shared" si="23"/>
        <v>2023</v>
      </c>
      <c r="R83" s="17">
        <f t="shared" si="24"/>
        <v>12</v>
      </c>
      <c r="S83" s="17">
        <f t="shared" si="25"/>
        <v>12</v>
      </c>
      <c r="T83" s="17">
        <f t="shared" si="26"/>
        <v>12</v>
      </c>
      <c r="U83" s="17">
        <f>B82-D82</f>
        <v>11</v>
      </c>
      <c r="V83" s="17">
        <f>NETWORKDAYS.INTL(D82,B82,1)</f>
        <v>8</v>
      </c>
      <c r="W83" s="24">
        <f>B82+V83</f>
        <v>45099</v>
      </c>
      <c r="X83" s="23">
        <f t="shared" si="27"/>
        <v>45091.593217592592</v>
      </c>
      <c r="Y83" s="22">
        <f t="shared" si="28"/>
        <v>45080.508472222224</v>
      </c>
    </row>
    <row r="84" spans="1:25" x14ac:dyDescent="0.2">
      <c r="A84" s="1" t="s">
        <v>125</v>
      </c>
      <c r="B84" s="2">
        <v>45115</v>
      </c>
      <c r="C84" s="3">
        <v>0.67796296296296299</v>
      </c>
      <c r="D84" s="2">
        <v>45104</v>
      </c>
      <c r="E84" s="3">
        <v>0.59321759259259255</v>
      </c>
      <c r="F84" s="4" t="s">
        <v>79</v>
      </c>
      <c r="H84" s="17" t="str">
        <f t="shared" si="15"/>
        <v>Cliente082</v>
      </c>
      <c r="I84" s="18">
        <f t="shared" si="29"/>
        <v>28</v>
      </c>
      <c r="J84" s="19">
        <f t="shared" si="16"/>
        <v>6</v>
      </c>
      <c r="K84" s="20">
        <f t="shared" si="17"/>
        <v>2023</v>
      </c>
      <c r="L84" s="17">
        <f t="shared" si="18"/>
        <v>15</v>
      </c>
      <c r="M84" s="17">
        <f t="shared" si="19"/>
        <v>15</v>
      </c>
      <c r="N84" s="17">
        <f t="shared" si="20"/>
        <v>15</v>
      </c>
      <c r="O84" s="17">
        <f t="shared" si="21"/>
        <v>18</v>
      </c>
      <c r="P84" s="17">
        <f t="shared" si="22"/>
        <v>6</v>
      </c>
      <c r="Q84" s="17">
        <f t="shared" si="23"/>
        <v>2023</v>
      </c>
      <c r="R84" s="17">
        <f t="shared" si="24"/>
        <v>8</v>
      </c>
      <c r="S84" s="17">
        <f t="shared" si="25"/>
        <v>8</v>
      </c>
      <c r="T84" s="17">
        <f t="shared" si="26"/>
        <v>8</v>
      </c>
      <c r="U84" s="17">
        <f>B83-D83</f>
        <v>10</v>
      </c>
      <c r="V84" s="17">
        <f>NETWORKDAYS.INTL(D83,B83,1)</f>
        <v>8</v>
      </c>
      <c r="W84" s="24">
        <f>B83+V84</f>
        <v>45113</v>
      </c>
      <c r="X84" s="23">
        <f t="shared" si="27"/>
        <v>45105.63559027778</v>
      </c>
      <c r="Y84" s="22">
        <f t="shared" si="28"/>
        <v>45095.33898148148</v>
      </c>
    </row>
    <row r="85" spans="1:25" x14ac:dyDescent="0.2">
      <c r="A85" s="1" t="s">
        <v>126</v>
      </c>
      <c r="B85" s="2">
        <v>45130</v>
      </c>
      <c r="C85" s="3">
        <v>0.42372685185185183</v>
      </c>
      <c r="D85" s="2">
        <v>45120</v>
      </c>
      <c r="E85" s="3">
        <v>0.29660879629629627</v>
      </c>
      <c r="F85" s="4" t="s">
        <v>65</v>
      </c>
      <c r="H85" s="17" t="str">
        <f t="shared" si="15"/>
        <v>Cliente083</v>
      </c>
      <c r="I85" s="18">
        <f t="shared" si="29"/>
        <v>8</v>
      </c>
      <c r="J85" s="19">
        <f t="shared" si="16"/>
        <v>7</v>
      </c>
      <c r="K85" s="20">
        <f t="shared" si="17"/>
        <v>2023</v>
      </c>
      <c r="L85" s="17">
        <f t="shared" si="18"/>
        <v>16</v>
      </c>
      <c r="M85" s="17">
        <f t="shared" si="19"/>
        <v>16</v>
      </c>
      <c r="N85" s="17">
        <f t="shared" si="20"/>
        <v>16</v>
      </c>
      <c r="O85" s="17">
        <f t="shared" si="21"/>
        <v>27</v>
      </c>
      <c r="P85" s="17">
        <f t="shared" si="22"/>
        <v>6</v>
      </c>
      <c r="Q85" s="17">
        <f t="shared" si="23"/>
        <v>2023</v>
      </c>
      <c r="R85" s="17">
        <f t="shared" si="24"/>
        <v>14</v>
      </c>
      <c r="S85" s="17">
        <f t="shared" si="25"/>
        <v>14</v>
      </c>
      <c r="T85" s="17">
        <f t="shared" si="26"/>
        <v>14</v>
      </c>
      <c r="U85" s="17">
        <f>B84-D84</f>
        <v>11</v>
      </c>
      <c r="V85" s="17">
        <f>NETWORKDAYS.INTL(D84,B84,1)</f>
        <v>9</v>
      </c>
      <c r="W85" s="24">
        <f>B84+V85</f>
        <v>45124</v>
      </c>
      <c r="X85" s="23">
        <f t="shared" si="27"/>
        <v>45115.67796296296</v>
      </c>
      <c r="Y85" s="22">
        <f t="shared" si="28"/>
        <v>45104.593217592592</v>
      </c>
    </row>
    <row r="86" spans="1:25" x14ac:dyDescent="0.2">
      <c r="A86" s="1" t="s">
        <v>127</v>
      </c>
      <c r="B86" s="2">
        <v>45141</v>
      </c>
      <c r="C86" s="3">
        <v>0.38135416666666666</v>
      </c>
      <c r="D86" s="2">
        <v>45129</v>
      </c>
      <c r="E86" s="3">
        <v>0.42372685185185183</v>
      </c>
      <c r="F86" s="4" t="s">
        <v>17</v>
      </c>
      <c r="H86" s="17" t="str">
        <f t="shared" si="15"/>
        <v>Cliente084</v>
      </c>
      <c r="I86" s="18">
        <f t="shared" si="29"/>
        <v>23</v>
      </c>
      <c r="J86" s="19">
        <f t="shared" si="16"/>
        <v>7</v>
      </c>
      <c r="K86" s="20">
        <f t="shared" si="17"/>
        <v>2023</v>
      </c>
      <c r="L86" s="17">
        <f t="shared" si="18"/>
        <v>10</v>
      </c>
      <c r="M86" s="17">
        <f t="shared" si="19"/>
        <v>10</v>
      </c>
      <c r="N86" s="17">
        <f t="shared" si="20"/>
        <v>10</v>
      </c>
      <c r="O86" s="17">
        <f t="shared" si="21"/>
        <v>13</v>
      </c>
      <c r="P86" s="17">
        <f t="shared" si="22"/>
        <v>7</v>
      </c>
      <c r="Q86" s="17">
        <f t="shared" si="23"/>
        <v>2023</v>
      </c>
      <c r="R86" s="17">
        <f t="shared" si="24"/>
        <v>7</v>
      </c>
      <c r="S86" s="17">
        <f t="shared" si="25"/>
        <v>7</v>
      </c>
      <c r="T86" s="17">
        <f t="shared" si="26"/>
        <v>7</v>
      </c>
      <c r="U86" s="17">
        <f>B85-D85</f>
        <v>10</v>
      </c>
      <c r="V86" s="17">
        <f>NETWORKDAYS.INTL(D85,B85,1)</f>
        <v>7</v>
      </c>
      <c r="W86" s="24">
        <f>B85+V86</f>
        <v>45137</v>
      </c>
      <c r="X86" s="23">
        <f t="shared" si="27"/>
        <v>45130.423726851855</v>
      </c>
      <c r="Y86" s="22">
        <f t="shared" si="28"/>
        <v>45120.2966087963</v>
      </c>
    </row>
    <row r="87" spans="1:25" x14ac:dyDescent="0.2">
      <c r="A87" s="1" t="s">
        <v>128</v>
      </c>
      <c r="B87" s="2">
        <v>45155</v>
      </c>
      <c r="C87" s="3">
        <v>0.33898148148148149</v>
      </c>
      <c r="D87" s="2">
        <v>45144</v>
      </c>
      <c r="E87" s="3">
        <v>0.63559027777777777</v>
      </c>
      <c r="F87" s="4" t="s">
        <v>41</v>
      </c>
      <c r="H87" s="17" t="str">
        <f t="shared" si="15"/>
        <v>Cliente085</v>
      </c>
      <c r="I87" s="18">
        <f t="shared" si="29"/>
        <v>3</v>
      </c>
      <c r="J87" s="19">
        <f t="shared" si="16"/>
        <v>8</v>
      </c>
      <c r="K87" s="20">
        <f t="shared" si="17"/>
        <v>2023</v>
      </c>
      <c r="L87" s="17">
        <f t="shared" si="18"/>
        <v>9</v>
      </c>
      <c r="M87" s="17">
        <f t="shared" si="19"/>
        <v>9</v>
      </c>
      <c r="N87" s="17">
        <f t="shared" si="20"/>
        <v>9</v>
      </c>
      <c r="O87" s="17">
        <f t="shared" si="21"/>
        <v>22</v>
      </c>
      <c r="P87" s="17">
        <f t="shared" si="22"/>
        <v>7</v>
      </c>
      <c r="Q87" s="17">
        <f t="shared" si="23"/>
        <v>2023</v>
      </c>
      <c r="R87" s="17">
        <f t="shared" si="24"/>
        <v>10</v>
      </c>
      <c r="S87" s="17">
        <f t="shared" si="25"/>
        <v>10</v>
      </c>
      <c r="T87" s="17">
        <f t="shared" si="26"/>
        <v>10</v>
      </c>
      <c r="U87" s="17">
        <f>B86-D86</f>
        <v>12</v>
      </c>
      <c r="V87" s="17">
        <f>NETWORKDAYS.INTL(D86,B86,1)</f>
        <v>9</v>
      </c>
      <c r="W87" s="24">
        <f>B86+V87</f>
        <v>45150</v>
      </c>
      <c r="X87" s="23">
        <f t="shared" si="27"/>
        <v>45141.381354166668</v>
      </c>
      <c r="Y87" s="22">
        <f t="shared" si="28"/>
        <v>45129.423726851855</v>
      </c>
    </row>
    <row r="88" spans="1:25" x14ac:dyDescent="0.2">
      <c r="A88" s="1" t="s">
        <v>129</v>
      </c>
      <c r="B88" s="2">
        <v>45181</v>
      </c>
      <c r="C88" s="3">
        <v>0.50847222222222221</v>
      </c>
      <c r="D88" s="2">
        <v>45170</v>
      </c>
      <c r="E88" s="3">
        <v>0.46609953703703705</v>
      </c>
      <c r="F88" s="4" t="s">
        <v>49</v>
      </c>
      <c r="H88" s="17" t="str">
        <f t="shared" si="15"/>
        <v>Cliente086</v>
      </c>
      <c r="I88" s="18">
        <f t="shared" si="29"/>
        <v>17</v>
      </c>
      <c r="J88" s="19">
        <f t="shared" si="16"/>
        <v>8</v>
      </c>
      <c r="K88" s="20">
        <f t="shared" si="17"/>
        <v>2023</v>
      </c>
      <c r="L88" s="17">
        <f t="shared" si="18"/>
        <v>8</v>
      </c>
      <c r="M88" s="17">
        <f t="shared" si="19"/>
        <v>8</v>
      </c>
      <c r="N88" s="17">
        <f t="shared" si="20"/>
        <v>8</v>
      </c>
      <c r="O88" s="17">
        <f t="shared" si="21"/>
        <v>6</v>
      </c>
      <c r="P88" s="17">
        <f t="shared" si="22"/>
        <v>8</v>
      </c>
      <c r="Q88" s="17">
        <f t="shared" si="23"/>
        <v>2023</v>
      </c>
      <c r="R88" s="17">
        <f t="shared" si="24"/>
        <v>15</v>
      </c>
      <c r="S88" s="17">
        <f t="shared" si="25"/>
        <v>15</v>
      </c>
      <c r="T88" s="17">
        <f t="shared" si="26"/>
        <v>15</v>
      </c>
      <c r="U88" s="17">
        <f>B87-D87</f>
        <v>11</v>
      </c>
      <c r="V88" s="17">
        <f>NETWORKDAYS.INTL(D87,B87,1)</f>
        <v>9</v>
      </c>
      <c r="W88" s="24">
        <f>B87+V88</f>
        <v>45164</v>
      </c>
      <c r="X88" s="23">
        <f t="shared" si="27"/>
        <v>45155.33898148148</v>
      </c>
      <c r="Y88" s="22">
        <f t="shared" si="28"/>
        <v>45144.63559027778</v>
      </c>
    </row>
    <row r="89" spans="1:25" x14ac:dyDescent="0.2">
      <c r="A89" s="1" t="s">
        <v>130</v>
      </c>
      <c r="B89" s="2">
        <v>45196</v>
      </c>
      <c r="C89" s="3">
        <v>0.55084490740740744</v>
      </c>
      <c r="D89" s="2">
        <v>45186</v>
      </c>
      <c r="E89" s="3">
        <v>0.55084490740740744</v>
      </c>
      <c r="F89" s="4" t="s">
        <v>63</v>
      </c>
      <c r="H89" s="17" t="str">
        <f t="shared" si="15"/>
        <v>Cliente087</v>
      </c>
      <c r="I89" s="18">
        <f t="shared" si="29"/>
        <v>12</v>
      </c>
      <c r="J89" s="19">
        <f t="shared" si="16"/>
        <v>9</v>
      </c>
      <c r="K89" s="20">
        <f t="shared" si="17"/>
        <v>2023</v>
      </c>
      <c r="L89" s="17">
        <f t="shared" si="18"/>
        <v>12</v>
      </c>
      <c r="M89" s="17">
        <f t="shared" si="19"/>
        <v>12</v>
      </c>
      <c r="N89" s="17">
        <f t="shared" si="20"/>
        <v>12</v>
      </c>
      <c r="O89" s="17">
        <f t="shared" si="21"/>
        <v>1</v>
      </c>
      <c r="P89" s="17">
        <f t="shared" si="22"/>
        <v>9</v>
      </c>
      <c r="Q89" s="17">
        <f t="shared" si="23"/>
        <v>2023</v>
      </c>
      <c r="R89" s="17">
        <f t="shared" si="24"/>
        <v>11</v>
      </c>
      <c r="S89" s="17">
        <f t="shared" si="25"/>
        <v>11</v>
      </c>
      <c r="T89" s="17">
        <f t="shared" si="26"/>
        <v>11</v>
      </c>
      <c r="U89" s="17">
        <f>B88-D88</f>
        <v>11</v>
      </c>
      <c r="V89" s="17">
        <f>NETWORKDAYS.INTL(D88,B88,1)</f>
        <v>8</v>
      </c>
      <c r="W89" s="24">
        <f>B88+V89</f>
        <v>45189</v>
      </c>
      <c r="X89" s="23">
        <f t="shared" si="27"/>
        <v>45181.508472222224</v>
      </c>
      <c r="Y89" s="22">
        <f t="shared" si="28"/>
        <v>45170.466099537036</v>
      </c>
    </row>
    <row r="90" spans="1:25" x14ac:dyDescent="0.2">
      <c r="A90" s="1" t="s">
        <v>131</v>
      </c>
      <c r="B90" s="2">
        <v>45206</v>
      </c>
      <c r="C90" s="3">
        <v>0.59321759259259255</v>
      </c>
      <c r="D90" s="2">
        <v>45196</v>
      </c>
      <c r="E90" s="3">
        <v>0.33898148148148149</v>
      </c>
      <c r="F90" s="4" t="s">
        <v>90</v>
      </c>
      <c r="H90" s="17" t="str">
        <f t="shared" si="15"/>
        <v>Cliente088</v>
      </c>
      <c r="I90" s="18">
        <f t="shared" si="29"/>
        <v>27</v>
      </c>
      <c r="J90" s="19">
        <f t="shared" si="16"/>
        <v>9</v>
      </c>
      <c r="K90" s="20">
        <f t="shared" si="17"/>
        <v>2023</v>
      </c>
      <c r="L90" s="17">
        <f t="shared" si="18"/>
        <v>13</v>
      </c>
      <c r="M90" s="17">
        <f t="shared" si="19"/>
        <v>13</v>
      </c>
      <c r="N90" s="17">
        <f t="shared" si="20"/>
        <v>13</v>
      </c>
      <c r="O90" s="17">
        <f t="shared" si="21"/>
        <v>17</v>
      </c>
      <c r="P90" s="17">
        <f t="shared" si="22"/>
        <v>9</v>
      </c>
      <c r="Q90" s="17">
        <f t="shared" si="23"/>
        <v>2023</v>
      </c>
      <c r="R90" s="17">
        <f t="shared" si="24"/>
        <v>13</v>
      </c>
      <c r="S90" s="17">
        <f t="shared" si="25"/>
        <v>13</v>
      </c>
      <c r="T90" s="17">
        <f t="shared" si="26"/>
        <v>13</v>
      </c>
      <c r="U90" s="17">
        <f>B89-D89</f>
        <v>10</v>
      </c>
      <c r="V90" s="17">
        <f>NETWORKDAYS.INTL(D89,B89,1)</f>
        <v>8</v>
      </c>
      <c r="W90" s="24">
        <f>B89+V90</f>
        <v>45204</v>
      </c>
      <c r="X90" s="23">
        <f t="shared" si="27"/>
        <v>45196.550844907404</v>
      </c>
      <c r="Y90" s="22">
        <f t="shared" si="28"/>
        <v>45186.550844907404</v>
      </c>
    </row>
    <row r="91" spans="1:25" x14ac:dyDescent="0.2">
      <c r="A91" s="1" t="s">
        <v>132</v>
      </c>
      <c r="B91" s="2">
        <v>45221</v>
      </c>
      <c r="C91" s="3">
        <v>0.63559027777777777</v>
      </c>
      <c r="D91" s="2">
        <v>45211</v>
      </c>
      <c r="E91" s="3">
        <v>0.38135416666666666</v>
      </c>
      <c r="F91" s="4" t="s">
        <v>79</v>
      </c>
      <c r="H91" s="17" t="str">
        <f t="shared" si="15"/>
        <v>Cliente089</v>
      </c>
      <c r="I91" s="18">
        <f t="shared" si="29"/>
        <v>7</v>
      </c>
      <c r="J91" s="19">
        <f t="shared" si="16"/>
        <v>10</v>
      </c>
      <c r="K91" s="20">
        <f t="shared" si="17"/>
        <v>2023</v>
      </c>
      <c r="L91" s="17">
        <f t="shared" si="18"/>
        <v>14</v>
      </c>
      <c r="M91" s="17">
        <f t="shared" si="19"/>
        <v>14</v>
      </c>
      <c r="N91" s="17">
        <f t="shared" si="20"/>
        <v>14</v>
      </c>
      <c r="O91" s="17">
        <f t="shared" si="21"/>
        <v>27</v>
      </c>
      <c r="P91" s="17">
        <f t="shared" si="22"/>
        <v>9</v>
      </c>
      <c r="Q91" s="17">
        <f t="shared" si="23"/>
        <v>2023</v>
      </c>
      <c r="R91" s="17">
        <f t="shared" si="24"/>
        <v>8</v>
      </c>
      <c r="S91" s="17">
        <f t="shared" si="25"/>
        <v>8</v>
      </c>
      <c r="T91" s="17">
        <f t="shared" si="26"/>
        <v>8</v>
      </c>
      <c r="U91" s="17">
        <f>B90-D90</f>
        <v>10</v>
      </c>
      <c r="V91" s="17">
        <f>NETWORKDAYS.INTL(D90,B90,1)</f>
        <v>8</v>
      </c>
      <c r="W91" s="24">
        <f>B90+V91</f>
        <v>45214</v>
      </c>
      <c r="X91" s="23">
        <f t="shared" si="27"/>
        <v>45206.593217592592</v>
      </c>
      <c r="Y91" s="22">
        <f t="shared" si="28"/>
        <v>45196.33898148148</v>
      </c>
    </row>
    <row r="92" spans="1:25" x14ac:dyDescent="0.2">
      <c r="A92" s="1" t="s">
        <v>133</v>
      </c>
      <c r="B92" s="2">
        <v>45233</v>
      </c>
      <c r="C92" s="3">
        <v>0.67796296296296299</v>
      </c>
      <c r="D92" s="2">
        <v>45223</v>
      </c>
      <c r="E92" s="3">
        <v>0.59321759259259255</v>
      </c>
      <c r="F92" s="4" t="s">
        <v>61</v>
      </c>
      <c r="H92" s="17" t="str">
        <f>A91</f>
        <v>Cliente090</v>
      </c>
      <c r="I92" s="18">
        <f t="shared" si="29"/>
        <v>22</v>
      </c>
      <c r="J92" s="19">
        <f t="shared" si="16"/>
        <v>10</v>
      </c>
      <c r="K92" s="20">
        <f t="shared" si="17"/>
        <v>2023</v>
      </c>
      <c r="L92" s="17">
        <f t="shared" si="18"/>
        <v>15</v>
      </c>
      <c r="M92" s="17">
        <f t="shared" si="19"/>
        <v>15</v>
      </c>
      <c r="N92" s="17">
        <f t="shared" si="20"/>
        <v>15</v>
      </c>
      <c r="O92" s="17">
        <f t="shared" si="21"/>
        <v>12</v>
      </c>
      <c r="P92" s="17">
        <f t="shared" si="22"/>
        <v>10</v>
      </c>
      <c r="Q92" s="17">
        <f>YEAR(D91)</f>
        <v>2023</v>
      </c>
      <c r="R92" s="17">
        <f t="shared" si="24"/>
        <v>9</v>
      </c>
      <c r="S92" s="17">
        <f t="shared" si="25"/>
        <v>9</v>
      </c>
      <c r="T92" s="17">
        <f t="shared" si="26"/>
        <v>9</v>
      </c>
      <c r="U92" s="17">
        <f>B91-D91</f>
        <v>10</v>
      </c>
      <c r="V92" s="17">
        <f>NETWORKDAYS.INTL(D91,B91,1)</f>
        <v>7</v>
      </c>
      <c r="W92" s="24">
        <f>B91+V92</f>
        <v>45228</v>
      </c>
      <c r="X92" s="23">
        <f t="shared" si="27"/>
        <v>45221.63559027778</v>
      </c>
      <c r="Y92" s="22">
        <f t="shared" si="28"/>
        <v>45211.381354166668</v>
      </c>
    </row>
    <row r="93" spans="1:25" x14ac:dyDescent="0.2">
      <c r="A93" s="1" t="s">
        <v>134</v>
      </c>
      <c r="B93" s="2">
        <v>45247</v>
      </c>
      <c r="C93" s="3">
        <v>0.42372685185185183</v>
      </c>
      <c r="D93" s="2">
        <v>45237</v>
      </c>
      <c r="E93" s="3">
        <v>0.29660879629629627</v>
      </c>
      <c r="F93" s="4" t="s">
        <v>17</v>
      </c>
      <c r="H93" s="17" t="str">
        <f t="shared" ref="H93:H101" si="30">A92</f>
        <v>Cliente091</v>
      </c>
      <c r="I93" s="18">
        <f t="shared" si="29"/>
        <v>3</v>
      </c>
      <c r="J93" s="19">
        <f t="shared" si="16"/>
        <v>11</v>
      </c>
      <c r="K93" s="20">
        <f t="shared" si="17"/>
        <v>2023</v>
      </c>
      <c r="L93" s="17">
        <f t="shared" si="18"/>
        <v>16</v>
      </c>
      <c r="M93" s="17">
        <f t="shared" si="19"/>
        <v>16</v>
      </c>
      <c r="N93" s="17">
        <f t="shared" si="20"/>
        <v>16</v>
      </c>
      <c r="O93" s="17">
        <f t="shared" si="21"/>
        <v>24</v>
      </c>
      <c r="P93" s="17">
        <f t="shared" si="22"/>
        <v>10</v>
      </c>
      <c r="Q93" s="17">
        <f t="shared" ref="Q93:Q102" si="31">YEAR(D92)</f>
        <v>2023</v>
      </c>
      <c r="R93" s="17">
        <f t="shared" si="24"/>
        <v>14</v>
      </c>
      <c r="S93" s="17">
        <f t="shared" si="25"/>
        <v>14</v>
      </c>
      <c r="T93" s="17">
        <f t="shared" si="26"/>
        <v>14</v>
      </c>
      <c r="U93" s="17">
        <f>B92-D92</f>
        <v>10</v>
      </c>
      <c r="V93" s="17">
        <f>NETWORKDAYS.INTL(D92,B92,1)</f>
        <v>9</v>
      </c>
      <c r="W93" s="24">
        <f>B92+V93</f>
        <v>45242</v>
      </c>
      <c r="X93" s="23">
        <f t="shared" si="27"/>
        <v>45233.67796296296</v>
      </c>
      <c r="Y93" s="22">
        <f t="shared" si="28"/>
        <v>45223.593217592592</v>
      </c>
    </row>
    <row r="94" spans="1:25" x14ac:dyDescent="0.2">
      <c r="A94" s="1" t="s">
        <v>135</v>
      </c>
      <c r="B94" s="2">
        <v>45258</v>
      </c>
      <c r="C94" s="3">
        <v>0.38135416666666666</v>
      </c>
      <c r="D94" s="2">
        <v>45248</v>
      </c>
      <c r="E94" s="3">
        <v>0.63559027777777777</v>
      </c>
      <c r="F94" s="4" t="s">
        <v>124</v>
      </c>
      <c r="H94" s="17" t="str">
        <f t="shared" si="30"/>
        <v>Cliente092</v>
      </c>
      <c r="I94" s="18">
        <f t="shared" si="29"/>
        <v>17</v>
      </c>
      <c r="J94" s="19">
        <f t="shared" si="16"/>
        <v>11</v>
      </c>
      <c r="K94" s="20">
        <f t="shared" si="17"/>
        <v>2023</v>
      </c>
      <c r="L94" s="17">
        <f t="shared" si="18"/>
        <v>10</v>
      </c>
      <c r="M94" s="17">
        <f t="shared" si="19"/>
        <v>10</v>
      </c>
      <c r="N94" s="17">
        <f t="shared" si="20"/>
        <v>10</v>
      </c>
      <c r="O94" s="17">
        <f t="shared" si="21"/>
        <v>7</v>
      </c>
      <c r="P94" s="17">
        <f t="shared" si="22"/>
        <v>11</v>
      </c>
      <c r="Q94" s="17">
        <f t="shared" si="31"/>
        <v>2023</v>
      </c>
      <c r="R94" s="17">
        <f t="shared" si="24"/>
        <v>7</v>
      </c>
      <c r="S94" s="17">
        <f t="shared" si="25"/>
        <v>7</v>
      </c>
      <c r="T94" s="17">
        <f t="shared" si="26"/>
        <v>7</v>
      </c>
      <c r="U94" s="17">
        <f>B93-D93</f>
        <v>10</v>
      </c>
      <c r="V94" s="17">
        <f>NETWORKDAYS.INTL(D93,B93,1)</f>
        <v>9</v>
      </c>
      <c r="W94" s="24">
        <f>B93+V94</f>
        <v>45256</v>
      </c>
      <c r="X94" s="23">
        <f t="shared" si="27"/>
        <v>45247.423726851855</v>
      </c>
      <c r="Y94" s="22">
        <f t="shared" si="28"/>
        <v>45237.2966087963</v>
      </c>
    </row>
    <row r="95" spans="1:25" x14ac:dyDescent="0.2">
      <c r="A95" s="1" t="s">
        <v>136</v>
      </c>
      <c r="B95" s="2">
        <v>45272</v>
      </c>
      <c r="C95" s="3">
        <v>0.33898148148148149</v>
      </c>
      <c r="D95" s="2">
        <v>45261</v>
      </c>
      <c r="E95" s="3">
        <v>0.42372685185185183</v>
      </c>
      <c r="F95" s="4" t="s">
        <v>15</v>
      </c>
      <c r="H95" s="17" t="str">
        <f t="shared" si="30"/>
        <v>Cliente093</v>
      </c>
      <c r="I95" s="18">
        <f t="shared" si="29"/>
        <v>28</v>
      </c>
      <c r="J95" s="19">
        <f t="shared" si="16"/>
        <v>11</v>
      </c>
      <c r="K95" s="20">
        <f t="shared" si="17"/>
        <v>2023</v>
      </c>
      <c r="L95" s="17">
        <f t="shared" si="18"/>
        <v>9</v>
      </c>
      <c r="M95" s="17">
        <f t="shared" si="19"/>
        <v>9</v>
      </c>
      <c r="N95" s="17">
        <f t="shared" si="20"/>
        <v>9</v>
      </c>
      <c r="O95" s="17">
        <f t="shared" si="21"/>
        <v>18</v>
      </c>
      <c r="P95" s="17">
        <f t="shared" si="22"/>
        <v>11</v>
      </c>
      <c r="Q95" s="17">
        <f t="shared" si="31"/>
        <v>2023</v>
      </c>
      <c r="R95" s="17">
        <f t="shared" si="24"/>
        <v>15</v>
      </c>
      <c r="S95" s="17">
        <f t="shared" si="25"/>
        <v>15</v>
      </c>
      <c r="T95" s="17">
        <f t="shared" si="26"/>
        <v>15</v>
      </c>
      <c r="U95" s="17">
        <f>B94-D94</f>
        <v>10</v>
      </c>
      <c r="V95" s="17">
        <f>NETWORKDAYS.INTL(D94,B94,1)</f>
        <v>7</v>
      </c>
      <c r="W95" s="24">
        <f>B94+V95</f>
        <v>45265</v>
      </c>
      <c r="X95" s="23">
        <f t="shared" si="27"/>
        <v>45258.381354166668</v>
      </c>
      <c r="Y95" s="22">
        <f t="shared" si="28"/>
        <v>45248.63559027778</v>
      </c>
    </row>
    <row r="96" spans="1:25" x14ac:dyDescent="0.2">
      <c r="A96" s="1" t="s">
        <v>137</v>
      </c>
      <c r="B96" s="2">
        <v>45282</v>
      </c>
      <c r="C96" s="3">
        <v>0.50847222222222221</v>
      </c>
      <c r="D96" s="2">
        <v>45267</v>
      </c>
      <c r="E96" s="3">
        <v>0.33898148148148149</v>
      </c>
      <c r="F96" s="4" t="s">
        <v>90</v>
      </c>
      <c r="H96" s="17" t="str">
        <f t="shared" si="30"/>
        <v>Cliente094</v>
      </c>
      <c r="I96" s="18">
        <f t="shared" si="29"/>
        <v>12</v>
      </c>
      <c r="J96" s="19">
        <f t="shared" si="16"/>
        <v>12</v>
      </c>
      <c r="K96" s="20">
        <f t="shared" si="17"/>
        <v>2023</v>
      </c>
      <c r="L96" s="17">
        <f t="shared" si="18"/>
        <v>8</v>
      </c>
      <c r="M96" s="17">
        <f t="shared" si="19"/>
        <v>8</v>
      </c>
      <c r="N96" s="17">
        <f t="shared" si="20"/>
        <v>8</v>
      </c>
      <c r="O96" s="17">
        <f t="shared" si="21"/>
        <v>1</v>
      </c>
      <c r="P96" s="17">
        <f t="shared" si="22"/>
        <v>12</v>
      </c>
      <c r="Q96" s="17">
        <f t="shared" si="31"/>
        <v>2023</v>
      </c>
      <c r="R96" s="17">
        <f t="shared" si="24"/>
        <v>10</v>
      </c>
      <c r="S96" s="17">
        <f t="shared" si="25"/>
        <v>10</v>
      </c>
      <c r="T96" s="17">
        <f t="shared" si="26"/>
        <v>10</v>
      </c>
      <c r="U96" s="17">
        <f>B95-D95</f>
        <v>11</v>
      </c>
      <c r="V96" s="17">
        <f>NETWORKDAYS.INTL(D95,B95,1)</f>
        <v>8</v>
      </c>
      <c r="W96" s="24">
        <f>B95+V96</f>
        <v>45280</v>
      </c>
      <c r="X96" s="23">
        <f t="shared" si="27"/>
        <v>45272.33898148148</v>
      </c>
      <c r="Y96" s="22">
        <f t="shared" si="28"/>
        <v>45261.423726851855</v>
      </c>
    </row>
    <row r="97" spans="1:25" x14ac:dyDescent="0.2">
      <c r="A97" s="1" t="s">
        <v>138</v>
      </c>
      <c r="B97" s="2">
        <v>44940</v>
      </c>
      <c r="C97" s="3">
        <v>0.46609953703703705</v>
      </c>
      <c r="D97" s="2">
        <v>44930</v>
      </c>
      <c r="E97" s="3">
        <v>0.50847222222222221</v>
      </c>
      <c r="F97" s="4" t="s">
        <v>41</v>
      </c>
      <c r="H97" s="17" t="str">
        <f t="shared" si="30"/>
        <v>Cliente095</v>
      </c>
      <c r="I97" s="18">
        <f t="shared" si="29"/>
        <v>22</v>
      </c>
      <c r="J97" s="19">
        <f t="shared" si="16"/>
        <v>12</v>
      </c>
      <c r="K97" s="20">
        <f t="shared" si="17"/>
        <v>2023</v>
      </c>
      <c r="L97" s="17">
        <f t="shared" si="18"/>
        <v>12</v>
      </c>
      <c r="M97" s="17">
        <f t="shared" si="19"/>
        <v>12</v>
      </c>
      <c r="N97" s="17">
        <f t="shared" si="20"/>
        <v>12</v>
      </c>
      <c r="O97" s="17">
        <f t="shared" si="21"/>
        <v>7</v>
      </c>
      <c r="P97" s="17">
        <f t="shared" si="22"/>
        <v>12</v>
      </c>
      <c r="Q97" s="17">
        <f t="shared" si="31"/>
        <v>2023</v>
      </c>
      <c r="R97" s="17">
        <f t="shared" si="24"/>
        <v>8</v>
      </c>
      <c r="S97" s="17">
        <f t="shared" si="25"/>
        <v>8</v>
      </c>
      <c r="T97" s="17">
        <f t="shared" si="26"/>
        <v>8</v>
      </c>
      <c r="U97" s="17">
        <f>B96-D96</f>
        <v>15</v>
      </c>
      <c r="V97" s="17">
        <f>NETWORKDAYS.INTL(D96,B96,1)</f>
        <v>12</v>
      </c>
      <c r="W97" s="24">
        <f>B96+V97</f>
        <v>45294</v>
      </c>
      <c r="X97" s="23">
        <f t="shared" si="27"/>
        <v>45282.508472222224</v>
      </c>
      <c r="Y97" s="22">
        <f t="shared" si="28"/>
        <v>45267.33898148148</v>
      </c>
    </row>
    <row r="98" spans="1:25" x14ac:dyDescent="0.2">
      <c r="A98" s="1" t="s">
        <v>139</v>
      </c>
      <c r="B98" s="2">
        <v>44955</v>
      </c>
      <c r="C98" s="3">
        <v>0.55084490740740744</v>
      </c>
      <c r="D98" s="2">
        <v>44944</v>
      </c>
      <c r="E98" s="3">
        <v>0.38135416666666666</v>
      </c>
      <c r="F98" s="4" t="s">
        <v>65</v>
      </c>
      <c r="H98" s="17" t="str">
        <f t="shared" si="30"/>
        <v>Cliente096</v>
      </c>
      <c r="I98" s="18">
        <f t="shared" si="29"/>
        <v>14</v>
      </c>
      <c r="J98" s="19">
        <f t="shared" si="16"/>
        <v>1</v>
      </c>
      <c r="K98" s="20">
        <f t="shared" si="17"/>
        <v>2023</v>
      </c>
      <c r="L98" s="17">
        <f t="shared" si="18"/>
        <v>11</v>
      </c>
      <c r="M98" s="17">
        <f t="shared" si="19"/>
        <v>11</v>
      </c>
      <c r="N98" s="17">
        <f t="shared" si="20"/>
        <v>11</v>
      </c>
      <c r="O98" s="17">
        <f t="shared" si="21"/>
        <v>4</v>
      </c>
      <c r="P98" s="17">
        <f t="shared" si="22"/>
        <v>1</v>
      </c>
      <c r="Q98" s="17">
        <f t="shared" si="31"/>
        <v>2023</v>
      </c>
      <c r="R98" s="17">
        <f t="shared" si="24"/>
        <v>12</v>
      </c>
      <c r="S98" s="17">
        <f t="shared" si="25"/>
        <v>12</v>
      </c>
      <c r="T98" s="17">
        <f t="shared" si="26"/>
        <v>12</v>
      </c>
      <c r="U98" s="17">
        <f>B97-D97</f>
        <v>10</v>
      </c>
      <c r="V98" s="17">
        <f>NETWORKDAYS.INTL(D97,B97,1)</f>
        <v>8</v>
      </c>
      <c r="W98" s="24">
        <f>B97+V98</f>
        <v>44948</v>
      </c>
      <c r="X98" s="23">
        <f t="shared" si="27"/>
        <v>44940.466099537036</v>
      </c>
      <c r="Y98" s="22">
        <f t="shared" si="28"/>
        <v>44930.508472222224</v>
      </c>
    </row>
    <row r="99" spans="1:25" x14ac:dyDescent="0.2">
      <c r="A99" s="1" t="s">
        <v>140</v>
      </c>
      <c r="B99" s="2">
        <v>44966</v>
      </c>
      <c r="C99" s="3">
        <v>0.59321759259259255</v>
      </c>
      <c r="D99" s="2">
        <v>44956</v>
      </c>
      <c r="E99" s="3">
        <v>0.59321759259259255</v>
      </c>
      <c r="F99" s="4" t="s">
        <v>15</v>
      </c>
      <c r="H99" s="17" t="str">
        <f t="shared" si="30"/>
        <v>Cliente097</v>
      </c>
      <c r="I99" s="18">
        <f t="shared" si="29"/>
        <v>29</v>
      </c>
      <c r="J99" s="19">
        <f t="shared" si="16"/>
        <v>1</v>
      </c>
      <c r="K99" s="20">
        <f t="shared" si="17"/>
        <v>2023</v>
      </c>
      <c r="L99" s="17">
        <f t="shared" si="18"/>
        <v>13</v>
      </c>
      <c r="M99" s="17">
        <f t="shared" si="19"/>
        <v>13</v>
      </c>
      <c r="N99" s="17">
        <f t="shared" si="20"/>
        <v>13</v>
      </c>
      <c r="O99" s="17">
        <f t="shared" si="21"/>
        <v>18</v>
      </c>
      <c r="P99" s="17">
        <f t="shared" si="22"/>
        <v>1</v>
      </c>
      <c r="Q99" s="17">
        <f t="shared" si="31"/>
        <v>2023</v>
      </c>
      <c r="R99" s="17">
        <f t="shared" si="24"/>
        <v>9</v>
      </c>
      <c r="S99" s="17">
        <f t="shared" si="25"/>
        <v>9</v>
      </c>
      <c r="T99" s="17">
        <f t="shared" si="26"/>
        <v>9</v>
      </c>
      <c r="U99" s="17">
        <f>B98-D98</f>
        <v>11</v>
      </c>
      <c r="V99" s="17">
        <f>NETWORKDAYS.INTL(D98,B98,1)</f>
        <v>8</v>
      </c>
      <c r="W99" s="24">
        <f>B98+V99</f>
        <v>44963</v>
      </c>
      <c r="X99" s="23">
        <f t="shared" si="27"/>
        <v>44955.550844907404</v>
      </c>
      <c r="Y99" s="22">
        <f t="shared" si="28"/>
        <v>44944.381354166668</v>
      </c>
    </row>
    <row r="100" spans="1:25" x14ac:dyDescent="0.2">
      <c r="A100" s="1" t="s">
        <v>141</v>
      </c>
      <c r="B100" s="2">
        <v>44981</v>
      </c>
      <c r="C100" s="3">
        <v>0.63559027777777777</v>
      </c>
      <c r="D100" s="2">
        <v>44970</v>
      </c>
      <c r="E100" s="3">
        <v>0.55084490740740744</v>
      </c>
      <c r="F100" s="4" t="s">
        <v>49</v>
      </c>
      <c r="H100" s="17" t="str">
        <f t="shared" si="30"/>
        <v>Cliente098</v>
      </c>
      <c r="I100" s="18">
        <f t="shared" si="29"/>
        <v>9</v>
      </c>
      <c r="J100" s="19">
        <f t="shared" si="16"/>
        <v>2</v>
      </c>
      <c r="K100" s="20">
        <f t="shared" si="17"/>
        <v>2023</v>
      </c>
      <c r="L100" s="17">
        <f t="shared" si="18"/>
        <v>14</v>
      </c>
      <c r="M100" s="17">
        <f t="shared" si="19"/>
        <v>14</v>
      </c>
      <c r="N100" s="17">
        <f t="shared" si="20"/>
        <v>14</v>
      </c>
      <c r="O100" s="17">
        <f t="shared" si="21"/>
        <v>30</v>
      </c>
      <c r="P100" s="17">
        <f t="shared" si="22"/>
        <v>1</v>
      </c>
      <c r="Q100" s="17">
        <f t="shared" si="31"/>
        <v>2023</v>
      </c>
      <c r="R100" s="17">
        <f t="shared" si="24"/>
        <v>14</v>
      </c>
      <c r="S100" s="17">
        <f t="shared" si="25"/>
        <v>14</v>
      </c>
      <c r="T100" s="17">
        <f t="shared" si="26"/>
        <v>14</v>
      </c>
      <c r="U100" s="17">
        <f>B99-D99</f>
        <v>10</v>
      </c>
      <c r="V100" s="17">
        <f>NETWORKDAYS.INTL(D99,B99,1)</f>
        <v>9</v>
      </c>
      <c r="W100" s="24">
        <f>B99+V100</f>
        <v>44975</v>
      </c>
      <c r="X100" s="23">
        <f t="shared" si="27"/>
        <v>44966.593217592592</v>
      </c>
      <c r="Y100" s="22">
        <f t="shared" si="28"/>
        <v>44956.593217592592</v>
      </c>
    </row>
    <row r="101" spans="1:25" x14ac:dyDescent="0.2">
      <c r="A101" s="1" t="s">
        <v>142</v>
      </c>
      <c r="B101" s="2">
        <v>44999</v>
      </c>
      <c r="C101" s="3">
        <v>0.42372685185185183</v>
      </c>
      <c r="D101" s="2">
        <v>44987</v>
      </c>
      <c r="E101" s="3">
        <v>0.46609953703703705</v>
      </c>
      <c r="F101" s="4" t="s">
        <v>90</v>
      </c>
      <c r="H101" s="17" t="str">
        <f t="shared" si="30"/>
        <v>Cliente099</v>
      </c>
      <c r="I101" s="18">
        <f t="shared" si="29"/>
        <v>24</v>
      </c>
      <c r="J101" s="19">
        <f t="shared" si="16"/>
        <v>2</v>
      </c>
      <c r="K101" s="20">
        <f t="shared" si="17"/>
        <v>2023</v>
      </c>
      <c r="L101" s="17">
        <f t="shared" si="18"/>
        <v>15</v>
      </c>
      <c r="M101" s="17">
        <f t="shared" si="19"/>
        <v>15</v>
      </c>
      <c r="N101" s="17">
        <f t="shared" si="20"/>
        <v>15</v>
      </c>
      <c r="O101" s="17">
        <f t="shared" si="21"/>
        <v>13</v>
      </c>
      <c r="P101" s="17">
        <f t="shared" si="22"/>
        <v>2</v>
      </c>
      <c r="Q101" s="17">
        <f t="shared" si="31"/>
        <v>2023</v>
      </c>
      <c r="R101" s="17">
        <f t="shared" si="24"/>
        <v>13</v>
      </c>
      <c r="S101" s="17">
        <f t="shared" si="25"/>
        <v>13</v>
      </c>
      <c r="T101" s="17">
        <f t="shared" si="26"/>
        <v>13</v>
      </c>
      <c r="U101" s="17">
        <f>B100-D100</f>
        <v>11</v>
      </c>
      <c r="V101" s="17">
        <f>NETWORKDAYS.INTL(D100,B100,1)</f>
        <v>10</v>
      </c>
      <c r="W101" s="24">
        <f>B100+V101</f>
        <v>44991</v>
      </c>
      <c r="X101" s="23">
        <f t="shared" si="27"/>
        <v>44981.63559027778</v>
      </c>
      <c r="Y101" s="22">
        <f t="shared" si="28"/>
        <v>44970.550844907404</v>
      </c>
    </row>
    <row r="102" spans="1:25" x14ac:dyDescent="0.2">
      <c r="H102" s="17" t="str">
        <f>A101</f>
        <v>Cliente100</v>
      </c>
      <c r="I102" s="18">
        <f t="shared" si="29"/>
        <v>14</v>
      </c>
      <c r="J102" s="19">
        <f t="shared" si="16"/>
        <v>3</v>
      </c>
      <c r="K102" s="20">
        <f t="shared" si="17"/>
        <v>2023</v>
      </c>
      <c r="L102" s="17">
        <f t="shared" si="18"/>
        <v>10</v>
      </c>
      <c r="M102" s="17">
        <f t="shared" si="19"/>
        <v>10</v>
      </c>
      <c r="N102" s="17">
        <f t="shared" si="20"/>
        <v>10</v>
      </c>
      <c r="O102" s="17">
        <f t="shared" si="21"/>
        <v>2</v>
      </c>
      <c r="P102" s="17">
        <f t="shared" si="22"/>
        <v>3</v>
      </c>
      <c r="Q102" s="17">
        <f t="shared" si="31"/>
        <v>2023</v>
      </c>
      <c r="R102" s="17">
        <f t="shared" si="24"/>
        <v>11</v>
      </c>
      <c r="S102" s="17">
        <f t="shared" si="25"/>
        <v>11</v>
      </c>
      <c r="T102" s="17">
        <f t="shared" si="26"/>
        <v>11</v>
      </c>
      <c r="U102" s="17">
        <f>B101-D101</f>
        <v>12</v>
      </c>
      <c r="V102" s="17">
        <f>NETWORKDAYS.INTL(D101,B101,1)</f>
        <v>9</v>
      </c>
      <c r="W102" s="24">
        <f>B101+V102</f>
        <v>45008</v>
      </c>
      <c r="X102" s="23">
        <f t="shared" si="27"/>
        <v>44999.423726851855</v>
      </c>
      <c r="Y102" s="22">
        <f t="shared" si="28"/>
        <v>44987.466099537036</v>
      </c>
    </row>
  </sheetData>
  <mergeCells count="9">
    <mergeCell ref="X1:X2"/>
    <mergeCell ref="L1:N1"/>
    <mergeCell ref="R1:T1"/>
    <mergeCell ref="Y1:Y2"/>
    <mergeCell ref="O1:Q1"/>
    <mergeCell ref="H1:K1"/>
    <mergeCell ref="U1:U2"/>
    <mergeCell ref="V1:V2"/>
    <mergeCell ref="W1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 + esercizio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Gabsi</dc:creator>
  <cp:lastModifiedBy>Sabrina Gabsi</cp:lastModifiedBy>
  <dcterms:created xsi:type="dcterms:W3CDTF">2026-01-02T18:10:01Z</dcterms:created>
  <dcterms:modified xsi:type="dcterms:W3CDTF">2026-01-02T19:16:10Z</dcterms:modified>
</cp:coreProperties>
</file>