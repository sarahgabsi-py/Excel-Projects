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rahgabsi/Desktop/"/>
    </mc:Choice>
  </mc:AlternateContent>
  <xr:revisionPtr revIDLastSave="0" documentId="8_{E60350D6-D77E-EE49-9460-B69310F1AF1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dataset " sheetId="1" r:id="rId1"/>
    <sheet name="Analisi Variabili" sheetId="2" r:id="rId2"/>
    <sheet name="Unici,CONTA.SE,Frequenze" sheetId="3" r:id="rId3"/>
    <sheet name="Grafici a colonn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3" l="1"/>
  <c r="J35" i="3"/>
  <c r="J36" i="3"/>
  <c r="J37" i="3"/>
  <c r="J34" i="3"/>
  <c r="I38" i="3"/>
  <c r="I35" i="3"/>
  <c r="I36" i="3"/>
  <c r="I37" i="3"/>
  <c r="I34" i="3"/>
  <c r="H38" i="3"/>
  <c r="H34" i="3"/>
  <c r="H35" i="3"/>
  <c r="H36" i="3"/>
  <c r="H37" i="3"/>
  <c r="G35" i="3"/>
  <c r="G36" i="3"/>
  <c r="G37" i="3"/>
  <c r="G34" i="3"/>
  <c r="J31" i="3"/>
  <c r="J30" i="3"/>
  <c r="J29" i="3"/>
  <c r="I31" i="3"/>
  <c r="I30" i="3"/>
  <c r="I29" i="3"/>
  <c r="H31" i="3"/>
  <c r="H30" i="3"/>
  <c r="H29" i="3"/>
  <c r="G30" i="3"/>
  <c r="G29" i="3"/>
  <c r="J25" i="3"/>
  <c r="J20" i="3"/>
  <c r="J21" i="3"/>
  <c r="J22" i="3"/>
  <c r="J23" i="3"/>
  <c r="J24" i="3"/>
  <c r="I25" i="3"/>
  <c r="I21" i="3"/>
  <c r="I22" i="3"/>
  <c r="I23" i="3"/>
  <c r="I24" i="3"/>
  <c r="I20" i="3"/>
  <c r="H25" i="3"/>
  <c r="H21" i="3"/>
  <c r="H22" i="3"/>
  <c r="H23" i="3"/>
  <c r="H24" i="3"/>
  <c r="H20" i="3"/>
  <c r="G21" i="3"/>
  <c r="G22" i="3"/>
  <c r="G23" i="3"/>
  <c r="G24" i="3"/>
  <c r="G20" i="3"/>
  <c r="L4" i="3" a="1"/>
  <c r="L4" i="3" s="1"/>
  <c r="H12" i="3" l="1"/>
  <c r="G14" i="3"/>
  <c r="H14" i="3" s="1"/>
  <c r="G12" i="3"/>
  <c r="J4" i="3" a="1"/>
  <c r="J4" i="3" s="1"/>
  <c r="I4" i="3" a="1"/>
  <c r="I4" i="3" s="1"/>
  <c r="H4" i="3" a="1"/>
  <c r="H4" i="3" s="1"/>
  <c r="G4" i="3" a="1"/>
  <c r="G4" i="3" s="1"/>
  <c r="G13" i="3" l="1"/>
  <c r="H13" i="3" s="1"/>
  <c r="H15" i="3" l="1"/>
  <c r="I14" i="3" l="1"/>
  <c r="J14" i="3" s="1"/>
  <c r="I12" i="3"/>
  <c r="I13" i="3"/>
  <c r="J13" i="3" s="1"/>
  <c r="I15" i="3" l="1"/>
  <c r="J12" i="3"/>
  <c r="J1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<sst xmlns="http://schemas.openxmlformats.org/spreadsheetml/2006/main" count="744" uniqueCount="132">
  <si>
    <t>ID</t>
  </si>
  <si>
    <t>Genere</t>
  </si>
  <si>
    <t>Età</t>
  </si>
  <si>
    <t>Colore Occhi</t>
  </si>
  <si>
    <t>Titolo Studio</t>
  </si>
  <si>
    <t>Numero Figli</t>
  </si>
  <si>
    <t>Peso</t>
  </si>
  <si>
    <t>F</t>
  </si>
  <si>
    <t>Azzurri</t>
  </si>
  <si>
    <t>Laurea Triennale</t>
  </si>
  <si>
    <t>59.3</t>
  </si>
  <si>
    <t>M</t>
  </si>
  <si>
    <t>Marroni</t>
  </si>
  <si>
    <t>Diploma</t>
  </si>
  <si>
    <t>72.1</t>
  </si>
  <si>
    <t>Verdi</t>
  </si>
  <si>
    <t>Laurea Magistrale</t>
  </si>
  <si>
    <t>64.5</t>
  </si>
  <si>
    <t>80.2</t>
  </si>
  <si>
    <t>58.7</t>
  </si>
  <si>
    <t>Scuola Media</t>
  </si>
  <si>
    <t>75.0</t>
  </si>
  <si>
    <t>62.3</t>
  </si>
  <si>
    <t>85.4</t>
  </si>
  <si>
    <t>63.7</t>
  </si>
  <si>
    <t>70.9</t>
  </si>
  <si>
    <t>57.5</t>
  </si>
  <si>
    <t>Licenza Elementare</t>
  </si>
  <si>
    <t>88.1</t>
  </si>
  <si>
    <t>66.2</t>
  </si>
  <si>
    <t>78.8</t>
  </si>
  <si>
    <t>60.4</t>
  </si>
  <si>
    <t>73.3</t>
  </si>
  <si>
    <t>61.2</t>
  </si>
  <si>
    <t>79.6</t>
  </si>
  <si>
    <t>58.9</t>
  </si>
  <si>
    <t>68.7</t>
  </si>
  <si>
    <t>59.8</t>
  </si>
  <si>
    <t>82.5</t>
  </si>
  <si>
    <t>63.1</t>
  </si>
  <si>
    <t>77.4</t>
  </si>
  <si>
    <t>60.0</t>
  </si>
  <si>
    <t>76.0</t>
  </si>
  <si>
    <t>62.7</t>
  </si>
  <si>
    <t>85.0</t>
  </si>
  <si>
    <t>64.9</t>
  </si>
  <si>
    <t>71.2</t>
  </si>
  <si>
    <t>56.7</t>
  </si>
  <si>
    <t>78.4</t>
  </si>
  <si>
    <t>67.8</t>
  </si>
  <si>
    <t>74.9</t>
  </si>
  <si>
    <t>61.0</t>
  </si>
  <si>
    <t>72.3</t>
  </si>
  <si>
    <t>59.4</t>
  </si>
  <si>
    <t>85.9</t>
  </si>
  <si>
    <t>65.6</t>
  </si>
  <si>
    <t>70.0</t>
  </si>
  <si>
    <t>58.2</t>
  </si>
  <si>
    <t>75.5</t>
  </si>
  <si>
    <t>60.3</t>
  </si>
  <si>
    <t>77.8</t>
  </si>
  <si>
    <t>64.0</t>
  </si>
  <si>
    <t>69.1</t>
  </si>
  <si>
    <t>62.5</t>
  </si>
  <si>
    <t>74.0</t>
  </si>
  <si>
    <t>59.9</t>
  </si>
  <si>
    <t>81.4</t>
  </si>
  <si>
    <t>63.4</t>
  </si>
  <si>
    <t>70.7</t>
  </si>
  <si>
    <t>57.6</t>
  </si>
  <si>
    <t>73.2</t>
  </si>
  <si>
    <t>60.8</t>
  </si>
  <si>
    <t>79.0</t>
  </si>
  <si>
    <t>65.0</t>
  </si>
  <si>
    <t>71.5</t>
  </si>
  <si>
    <t>58.3</t>
  </si>
  <si>
    <t>78.1</t>
  </si>
  <si>
    <t>60.6</t>
  </si>
  <si>
    <t>75.8</t>
  </si>
  <si>
    <t>64.3</t>
  </si>
  <si>
    <t>69.6</t>
  </si>
  <si>
    <t>59.7</t>
  </si>
  <si>
    <t>80.5</t>
  </si>
  <si>
    <t>62.2</t>
  </si>
  <si>
    <t>77.9</t>
  </si>
  <si>
    <t>63.9</t>
  </si>
  <si>
    <t>70.4</t>
  </si>
  <si>
    <t>58.5</t>
  </si>
  <si>
    <t>74.6</t>
  </si>
  <si>
    <t>61.1</t>
  </si>
  <si>
    <t>82.3</t>
  </si>
  <si>
    <t>59.2</t>
  </si>
  <si>
    <t>71.0</t>
  </si>
  <si>
    <t>57.9</t>
  </si>
  <si>
    <t>76.7</t>
  </si>
  <si>
    <t>60.1</t>
  </si>
  <si>
    <t>62.8</t>
  </si>
  <si>
    <t>69.7</t>
  </si>
  <si>
    <t>58.8</t>
  </si>
  <si>
    <t>80.1</t>
  </si>
  <si>
    <t>61.7</t>
  </si>
  <si>
    <t>75.2</t>
  </si>
  <si>
    <t>63.0</t>
  </si>
  <si>
    <t>70.6</t>
  </si>
  <si>
    <t>58.0</t>
  </si>
  <si>
    <t>78.7</t>
  </si>
  <si>
    <t>60.5</t>
  </si>
  <si>
    <t>64.1</t>
  </si>
  <si>
    <t>69.8</t>
  </si>
  <si>
    <t>58.4</t>
  </si>
  <si>
    <t>79.5</t>
  </si>
  <si>
    <t>61.3</t>
  </si>
  <si>
    <t>74.8</t>
  </si>
  <si>
    <t>62.1</t>
  </si>
  <si>
    <t>70.2</t>
  </si>
  <si>
    <t>Qualitative nominali</t>
  </si>
  <si>
    <t>Qualitative ordinali</t>
  </si>
  <si>
    <t>Quantitative discrete</t>
  </si>
  <si>
    <t>Quantitative continue</t>
  </si>
  <si>
    <t xml:space="preserve">Titolo di studio </t>
  </si>
  <si>
    <t xml:space="preserve">numero figli </t>
  </si>
  <si>
    <t xml:space="preserve">peso </t>
  </si>
  <si>
    <t xml:space="preserve">Valori Unici Colore Occhi </t>
  </si>
  <si>
    <t>Valori Unici Titolo Studio</t>
  </si>
  <si>
    <t>Valori Unici Genere</t>
  </si>
  <si>
    <t>Valori Unici numero figli</t>
  </si>
  <si>
    <t>Colore occhi</t>
  </si>
  <si>
    <t>Frequenza assoluta</t>
  </si>
  <si>
    <t>Frequenza relativa</t>
  </si>
  <si>
    <t>Frequenza percentuale</t>
  </si>
  <si>
    <t>Valori Unici età</t>
  </si>
  <si>
    <t xml:space="preserve">Frequenza percentuale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</si>
</sst>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Menlo Regular"/>
    </font>
    <font>
      <b/>
      <sz val="10"/>
      <color theme="1"/>
      <name val="Menlo"/>
      <family val="2"/>
    </font>
    <font>
      <b/>
      <sz val="10"/>
      <color indexed="8"/>
      <name val="Menlo Regula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</cellStyleXfs>
  <cellXfs count="3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top" wrapText="1"/>
    </xf>
    <xf numFmtId="0" fontId="4" fillId="0" borderId="8" xfId="0" applyFont="1" applyBorder="1">
      <alignment vertical="top" wrapText="1"/>
    </xf>
    <xf numFmtId="0" fontId="4" fillId="0" borderId="9" xfId="0" applyFont="1" applyBorder="1">
      <alignment vertical="top" wrapText="1"/>
    </xf>
    <xf numFmtId="0" fontId="5" fillId="4" borderId="8" xfId="0" applyFont="1" applyFill="1" applyBorder="1">
      <alignment vertical="top" wrapText="1"/>
    </xf>
    <xf numFmtId="0" fontId="6" fillId="4" borderId="9" xfId="0" applyFont="1" applyFill="1" applyBorder="1">
      <alignment vertical="top" wrapText="1"/>
    </xf>
    <xf numFmtId="0" fontId="6" fillId="4" borderId="8" xfId="0" applyFont="1" applyFill="1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2" fillId="5" borderId="9" xfId="0" applyFont="1" applyFill="1" applyBorder="1">
      <alignment vertical="top" wrapText="1"/>
    </xf>
    <xf numFmtId="0" fontId="2" fillId="5" borderId="8" xfId="0" applyFont="1" applyFill="1" applyBorder="1">
      <alignment vertical="top" wrapText="1"/>
    </xf>
    <xf numFmtId="2" fontId="0" fillId="0" borderId="8" xfId="0" applyNumberFormat="1" applyBorder="1">
      <alignment vertical="top" wrapText="1"/>
    </xf>
    <xf numFmtId="9" fontId="0" fillId="0" borderId="8" xfId="1" applyFont="1" applyBorder="1" applyAlignment="1">
      <alignment vertical="top" wrapText="1"/>
    </xf>
    <xf numFmtId="49" fontId="2" fillId="5" borderId="9" xfId="0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vertical="top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2" fontId="0" fillId="6" borderId="8" xfId="0" applyNumberFormat="1" applyFill="1" applyBorder="1" applyAlignment="1">
      <alignment horizontal="center" vertical="center" wrapText="1"/>
    </xf>
    <xf numFmtId="9" fontId="0" fillId="6" borderId="8" xfId="0" applyNumberFormat="1" applyFill="1" applyBorder="1" applyAlignment="1">
      <alignment horizontal="center" vertical="center" wrapText="1"/>
    </xf>
    <xf numFmtId="0" fontId="0" fillId="6" borderId="8" xfId="0" applyFill="1" applyBorder="1">
      <alignment vertical="top" wrapText="1"/>
    </xf>
    <xf numFmtId="2" fontId="0" fillId="6" borderId="8" xfId="0" applyNumberFormat="1" applyFill="1" applyBorder="1">
      <alignment vertical="top" wrapText="1"/>
    </xf>
    <xf numFmtId="9" fontId="0" fillId="6" borderId="8" xfId="1" applyFont="1" applyFill="1" applyBorder="1" applyAlignment="1">
      <alignment vertical="top" wrapText="1"/>
    </xf>
  </cellXfs>
  <cellStyles count="2">
    <cellStyle name="Normale" xfId="0" builtinId="0"/>
    <cellStyle name="Percentuale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  <a:r>
              <a:rPr lang="it-IT" baseline="0"/>
              <a:t> colore occhi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'Unici,CONTA.SE,Frequenze'!$G$12:$G$14</c:f>
              <c:strCache>
                <c:ptCount val="3"/>
                <c:pt idx="0">
                  <c:v>Azzurri</c:v>
                </c:pt>
                <c:pt idx="1">
                  <c:v>Marroni</c:v>
                </c:pt>
                <c:pt idx="2">
                  <c:v>Verdi</c:v>
                </c:pt>
              </c:strCache>
            </c:strRef>
          </c:cat>
          <c:val>
            <c:numRef>
              <c:f>'Unici,CONTA.SE,Frequenze'!$H$12:$H$14</c:f>
              <c:numCache>
                <c:formatCode>General</c:formatCode>
                <c:ptCount val="3"/>
                <c:pt idx="0">
                  <c:v>34</c:v>
                </c:pt>
                <c:pt idx="1">
                  <c:v>34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7-3C49-A2F6-9664E4BB896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'Unici,CONTA.SE,Frequenze'!$G$12:$G$14</c:f>
              <c:strCache>
                <c:ptCount val="3"/>
                <c:pt idx="0">
                  <c:v>Azzurri</c:v>
                </c:pt>
                <c:pt idx="1">
                  <c:v>Marroni</c:v>
                </c:pt>
                <c:pt idx="2">
                  <c:v>Verdi</c:v>
                </c:pt>
              </c:strCache>
            </c:strRef>
          </c:cat>
          <c:val>
            <c:numRef>
              <c:f>'Unici,CONTA.SE,Frequenze'!$H$11</c:f>
              <c:numCache>
                <c:formatCode>@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7-3C49-A2F6-9664E4BB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36016"/>
        <c:axId val="2089190688"/>
      </c:barChart>
      <c:catAx>
        <c:axId val="19186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9190688"/>
        <c:crosses val="autoZero"/>
        <c:auto val="1"/>
        <c:lblAlgn val="ctr"/>
        <c:lblOffset val="100"/>
        <c:noMultiLvlLbl val="0"/>
      </c:catAx>
      <c:valAx>
        <c:axId val="20891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86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Titoli</a:t>
            </a:r>
            <a:r>
              <a:rPr lang="it-IT" baseline="0"/>
              <a:t> di studio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'Unici,CONTA.SE,Frequenze'!$G$20:$G$24</c:f>
              <c:strCache>
                <c:ptCount val="5"/>
                <c:pt idx="0">
                  <c:v>Laurea Triennale</c:v>
                </c:pt>
                <c:pt idx="1">
                  <c:v>Diploma</c:v>
                </c:pt>
                <c:pt idx="2">
                  <c:v>Laurea Magistrale</c:v>
                </c:pt>
                <c:pt idx="3">
                  <c:v>Scuola Media</c:v>
                </c:pt>
                <c:pt idx="4">
                  <c:v>Licenza Elementare</c:v>
                </c:pt>
              </c:strCache>
            </c:strRef>
          </c:cat>
          <c:val>
            <c:numRef>
              <c:f>'Unici,CONTA.SE,Frequenze'!$H$20:$H$24</c:f>
              <c:numCache>
                <c:formatCode>General</c:formatCode>
                <c:ptCount val="5"/>
                <c:pt idx="0">
                  <c:v>31</c:v>
                </c:pt>
                <c:pt idx="1">
                  <c:v>31</c:v>
                </c:pt>
                <c:pt idx="2">
                  <c:v>32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9-BF4D-854A-7EE455E80A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'Unici,CONTA.SE,Frequenze'!$G$20:$G$24</c:f>
              <c:strCache>
                <c:ptCount val="5"/>
                <c:pt idx="0">
                  <c:v>Laurea Triennale</c:v>
                </c:pt>
                <c:pt idx="1">
                  <c:v>Diploma</c:v>
                </c:pt>
                <c:pt idx="2">
                  <c:v>Laurea Magistrale</c:v>
                </c:pt>
                <c:pt idx="3">
                  <c:v>Scuola Media</c:v>
                </c:pt>
                <c:pt idx="4">
                  <c:v>Licenza Elementare</c:v>
                </c:pt>
              </c:strCache>
            </c:strRef>
          </c:cat>
          <c:val>
            <c:numRef>
              <c:f>'Unici,CONTA.SE,Frequenze'!$H$19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9-BF4D-854A-7EE455E8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780736"/>
        <c:axId val="549782448"/>
      </c:barChart>
      <c:catAx>
        <c:axId val="5497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782448"/>
        <c:crosses val="autoZero"/>
        <c:auto val="1"/>
        <c:lblAlgn val="ctr"/>
        <c:lblOffset val="100"/>
        <c:noMultiLvlLbl val="0"/>
      </c:catAx>
      <c:valAx>
        <c:axId val="5497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7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152400</xdr:rowOff>
    </xdr:from>
    <xdr:to>
      <xdr:col>6</xdr:col>
      <xdr:colOff>381000</xdr:colOff>
      <xdr:row>18</xdr:row>
      <xdr:rowOff>88900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BE6E74-0322-8C44-A5F7-D7ACF33A7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622300</xdr:colOff>
      <xdr:row>1</xdr:row>
      <xdr:rowOff>152400</xdr:rowOff>
    </xdr:from>
    <xdr:to>
      <xdr:col>12</xdr:col>
      <xdr:colOff>241300</xdr:colOff>
      <xdr:row>18</xdr:row>
      <xdr:rowOff>88900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3FDFBA1-82F2-C34D-83EE-0DA577C28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showGridLines="0" workbookViewId="0">
      <selection activeCell="C2" sqref="C1:C1048576"/>
    </sheetView>
  </sheetViews>
  <sheetFormatPr baseColWidth="10" defaultColWidth="8.33203125" defaultRowHeight="20" customHeight="1"/>
  <cols>
    <col min="1" max="1" width="3.33203125" style="1" customWidth="1"/>
    <col min="2" max="2" width="7.1640625" style="1" customWidth="1"/>
    <col min="3" max="3" width="4.1640625" style="1" customWidth="1"/>
    <col min="4" max="4" width="11.83203125" style="1" customWidth="1"/>
    <col min="5" max="5" width="16" style="1" customWidth="1"/>
    <col min="6" max="6" width="11.5" style="1" customWidth="1"/>
    <col min="7" max="7" width="5.5" style="1" customWidth="1"/>
    <col min="8" max="8" width="8.33203125" style="1" customWidth="1"/>
    <col min="9" max="16384" width="8.33203125" style="1"/>
  </cols>
  <sheetData>
    <row r="1" spans="1:7" ht="27.75" customHeight="1">
      <c r="A1" s="11"/>
      <c r="B1" s="11"/>
      <c r="C1" s="11"/>
      <c r="D1" s="11"/>
      <c r="E1" s="11"/>
      <c r="F1" s="11"/>
      <c r="G1" s="11"/>
    </row>
    <row r="2" spans="1:7" ht="20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0.25" customHeight="1">
      <c r="A3" s="3">
        <v>1</v>
      </c>
      <c r="B3" s="4" t="s">
        <v>7</v>
      </c>
      <c r="C3" s="5">
        <v>25</v>
      </c>
      <c r="D3" s="6" t="s">
        <v>8</v>
      </c>
      <c r="E3" s="6" t="s">
        <v>9</v>
      </c>
      <c r="F3" s="5">
        <v>0</v>
      </c>
      <c r="G3" s="6" t="s">
        <v>10</v>
      </c>
    </row>
    <row r="4" spans="1:7" ht="20" customHeight="1">
      <c r="A4" s="7">
        <v>2</v>
      </c>
      <c r="B4" s="8" t="s">
        <v>11</v>
      </c>
      <c r="C4" s="9">
        <v>32</v>
      </c>
      <c r="D4" s="10" t="s">
        <v>12</v>
      </c>
      <c r="E4" s="10" t="s">
        <v>13</v>
      </c>
      <c r="F4" s="9">
        <v>2</v>
      </c>
      <c r="G4" s="10" t="s">
        <v>14</v>
      </c>
    </row>
    <row r="5" spans="1:7" ht="20" customHeight="1">
      <c r="A5" s="7">
        <v>3</v>
      </c>
      <c r="B5" s="8" t="s">
        <v>7</v>
      </c>
      <c r="C5" s="9">
        <v>28</v>
      </c>
      <c r="D5" s="10" t="s">
        <v>15</v>
      </c>
      <c r="E5" s="10" t="s">
        <v>16</v>
      </c>
      <c r="F5" s="9">
        <v>1</v>
      </c>
      <c r="G5" s="10" t="s">
        <v>17</v>
      </c>
    </row>
    <row r="6" spans="1:7" ht="20" customHeight="1">
      <c r="A6" s="7">
        <v>4</v>
      </c>
      <c r="B6" s="8" t="s">
        <v>11</v>
      </c>
      <c r="C6" s="9">
        <v>45</v>
      </c>
      <c r="D6" s="10" t="s">
        <v>12</v>
      </c>
      <c r="E6" s="10" t="s">
        <v>13</v>
      </c>
      <c r="F6" s="9">
        <v>3</v>
      </c>
      <c r="G6" s="10" t="s">
        <v>18</v>
      </c>
    </row>
    <row r="7" spans="1:7" ht="20" customHeight="1">
      <c r="A7" s="7">
        <v>5</v>
      </c>
      <c r="B7" s="8" t="s">
        <v>7</v>
      </c>
      <c r="C7" s="9">
        <v>35</v>
      </c>
      <c r="D7" s="10" t="s">
        <v>8</v>
      </c>
      <c r="E7" s="10" t="s">
        <v>16</v>
      </c>
      <c r="F7" s="9">
        <v>2</v>
      </c>
      <c r="G7" s="10" t="s">
        <v>19</v>
      </c>
    </row>
    <row r="8" spans="1:7" ht="20" customHeight="1">
      <c r="A8" s="7">
        <v>6</v>
      </c>
      <c r="B8" s="8" t="s">
        <v>11</v>
      </c>
      <c r="C8" s="9">
        <v>22</v>
      </c>
      <c r="D8" s="10" t="s">
        <v>12</v>
      </c>
      <c r="E8" s="10" t="s">
        <v>20</v>
      </c>
      <c r="F8" s="9">
        <v>0</v>
      </c>
      <c r="G8" s="10" t="s">
        <v>21</v>
      </c>
    </row>
    <row r="9" spans="1:7" ht="20" customHeight="1">
      <c r="A9" s="7">
        <v>7</v>
      </c>
      <c r="B9" s="8" t="s">
        <v>7</v>
      </c>
      <c r="C9" s="9">
        <v>29</v>
      </c>
      <c r="D9" s="10" t="s">
        <v>15</v>
      </c>
      <c r="E9" s="10" t="s">
        <v>9</v>
      </c>
      <c r="F9" s="9">
        <v>1</v>
      </c>
      <c r="G9" s="10" t="s">
        <v>22</v>
      </c>
    </row>
    <row r="10" spans="1:7" ht="20" customHeight="1">
      <c r="A10" s="7">
        <v>8</v>
      </c>
      <c r="B10" s="8" t="s">
        <v>11</v>
      </c>
      <c r="C10" s="9">
        <v>40</v>
      </c>
      <c r="D10" s="10" t="s">
        <v>15</v>
      </c>
      <c r="E10" s="10" t="s">
        <v>13</v>
      </c>
      <c r="F10" s="9">
        <v>2</v>
      </c>
      <c r="G10" s="10" t="s">
        <v>23</v>
      </c>
    </row>
    <row r="11" spans="1:7" ht="20" customHeight="1">
      <c r="A11" s="7">
        <v>9</v>
      </c>
      <c r="B11" s="8" t="s">
        <v>7</v>
      </c>
      <c r="C11" s="9">
        <v>31</v>
      </c>
      <c r="D11" s="10" t="s">
        <v>8</v>
      </c>
      <c r="E11" s="10" t="s">
        <v>16</v>
      </c>
      <c r="F11" s="9">
        <v>0</v>
      </c>
      <c r="G11" s="10" t="s">
        <v>24</v>
      </c>
    </row>
    <row r="12" spans="1:7" ht="20" customHeight="1">
      <c r="A12" s="7">
        <v>10</v>
      </c>
      <c r="B12" s="8" t="s">
        <v>11</v>
      </c>
      <c r="C12" s="9">
        <v>27</v>
      </c>
      <c r="D12" s="10" t="s">
        <v>12</v>
      </c>
      <c r="E12" s="10" t="s">
        <v>9</v>
      </c>
      <c r="F12" s="9">
        <v>1</v>
      </c>
      <c r="G12" s="10" t="s">
        <v>25</v>
      </c>
    </row>
    <row r="13" spans="1:7" ht="20" customHeight="1">
      <c r="A13" s="7">
        <v>11</v>
      </c>
      <c r="B13" s="8" t="s">
        <v>7</v>
      </c>
      <c r="C13" s="9">
        <v>24</v>
      </c>
      <c r="D13" s="10" t="s">
        <v>8</v>
      </c>
      <c r="E13" s="10" t="s">
        <v>9</v>
      </c>
      <c r="F13" s="9">
        <v>1</v>
      </c>
      <c r="G13" s="10" t="s">
        <v>26</v>
      </c>
    </row>
    <row r="14" spans="1:7" ht="20" customHeight="1">
      <c r="A14" s="7">
        <v>12</v>
      </c>
      <c r="B14" s="8" t="s">
        <v>11</v>
      </c>
      <c r="C14" s="9">
        <v>50</v>
      </c>
      <c r="D14" s="10" t="s">
        <v>12</v>
      </c>
      <c r="E14" s="10" t="s">
        <v>27</v>
      </c>
      <c r="F14" s="9">
        <v>3</v>
      </c>
      <c r="G14" s="10" t="s">
        <v>28</v>
      </c>
    </row>
    <row r="15" spans="1:7" ht="20" customHeight="1">
      <c r="A15" s="7">
        <v>13</v>
      </c>
      <c r="B15" s="8" t="s">
        <v>7</v>
      </c>
      <c r="C15" s="9">
        <v>37</v>
      </c>
      <c r="D15" s="10" t="s">
        <v>15</v>
      </c>
      <c r="E15" s="10" t="s">
        <v>16</v>
      </c>
      <c r="F15" s="9">
        <v>2</v>
      </c>
      <c r="G15" s="10" t="s">
        <v>29</v>
      </c>
    </row>
    <row r="16" spans="1:7" ht="20" customHeight="1">
      <c r="A16" s="7">
        <v>14</v>
      </c>
      <c r="B16" s="8" t="s">
        <v>11</v>
      </c>
      <c r="C16" s="9">
        <v>33</v>
      </c>
      <c r="D16" s="10" t="s">
        <v>12</v>
      </c>
      <c r="E16" s="10" t="s">
        <v>13</v>
      </c>
      <c r="F16" s="9">
        <v>2</v>
      </c>
      <c r="G16" s="10" t="s">
        <v>30</v>
      </c>
    </row>
    <row r="17" spans="1:7" ht="20" customHeight="1">
      <c r="A17" s="7">
        <v>15</v>
      </c>
      <c r="B17" s="8" t="s">
        <v>7</v>
      </c>
      <c r="C17" s="9">
        <v>26</v>
      </c>
      <c r="D17" s="10" t="s">
        <v>8</v>
      </c>
      <c r="E17" s="10" t="s">
        <v>9</v>
      </c>
      <c r="F17" s="9">
        <v>0</v>
      </c>
      <c r="G17" s="10" t="s">
        <v>31</v>
      </c>
    </row>
    <row r="18" spans="1:7" ht="20" customHeight="1">
      <c r="A18" s="7">
        <v>16</v>
      </c>
      <c r="B18" s="8" t="s">
        <v>11</v>
      </c>
      <c r="C18" s="9">
        <v>29</v>
      </c>
      <c r="D18" s="10" t="s">
        <v>15</v>
      </c>
      <c r="E18" s="10" t="s">
        <v>16</v>
      </c>
      <c r="F18" s="9">
        <v>1</v>
      </c>
      <c r="G18" s="10" t="s">
        <v>32</v>
      </c>
    </row>
    <row r="19" spans="1:7" ht="20" customHeight="1">
      <c r="A19" s="7">
        <v>17</v>
      </c>
      <c r="B19" s="8" t="s">
        <v>7</v>
      </c>
      <c r="C19" s="9">
        <v>42</v>
      </c>
      <c r="D19" s="10" t="s">
        <v>8</v>
      </c>
      <c r="E19" s="10" t="s">
        <v>13</v>
      </c>
      <c r="F19" s="9">
        <v>3</v>
      </c>
      <c r="G19" s="10" t="s">
        <v>33</v>
      </c>
    </row>
    <row r="20" spans="1:7" ht="20" customHeight="1">
      <c r="A20" s="7">
        <v>18</v>
      </c>
      <c r="B20" s="8" t="s">
        <v>11</v>
      </c>
      <c r="C20" s="9">
        <v>38</v>
      </c>
      <c r="D20" s="10" t="s">
        <v>12</v>
      </c>
      <c r="E20" s="10" t="s">
        <v>16</v>
      </c>
      <c r="F20" s="9">
        <v>2</v>
      </c>
      <c r="G20" s="10" t="s">
        <v>34</v>
      </c>
    </row>
    <row r="21" spans="1:7" ht="20" customHeight="1">
      <c r="A21" s="7">
        <v>19</v>
      </c>
      <c r="B21" s="8" t="s">
        <v>7</v>
      </c>
      <c r="C21" s="9">
        <v>30</v>
      </c>
      <c r="D21" s="10" t="s">
        <v>8</v>
      </c>
      <c r="E21" s="10" t="s">
        <v>9</v>
      </c>
      <c r="F21" s="9">
        <v>1</v>
      </c>
      <c r="G21" s="10" t="s">
        <v>35</v>
      </c>
    </row>
    <row r="22" spans="1:7" ht="20" customHeight="1">
      <c r="A22" s="7">
        <v>20</v>
      </c>
      <c r="B22" s="8" t="s">
        <v>11</v>
      </c>
      <c r="C22" s="9">
        <v>25</v>
      </c>
      <c r="D22" s="10" t="s">
        <v>15</v>
      </c>
      <c r="E22" s="10" t="s">
        <v>13</v>
      </c>
      <c r="F22" s="9">
        <v>0</v>
      </c>
      <c r="G22" s="10" t="s">
        <v>36</v>
      </c>
    </row>
    <row r="23" spans="1:7" ht="20" customHeight="1">
      <c r="A23" s="7">
        <v>21</v>
      </c>
      <c r="B23" s="8" t="s">
        <v>7</v>
      </c>
      <c r="C23" s="9">
        <v>27</v>
      </c>
      <c r="D23" s="10" t="s">
        <v>12</v>
      </c>
      <c r="E23" s="10" t="s">
        <v>9</v>
      </c>
      <c r="F23" s="9">
        <v>0</v>
      </c>
      <c r="G23" s="10" t="s">
        <v>37</v>
      </c>
    </row>
    <row r="24" spans="1:7" ht="20" customHeight="1">
      <c r="A24" s="7">
        <v>22</v>
      </c>
      <c r="B24" s="8" t="s">
        <v>11</v>
      </c>
      <c r="C24" s="9">
        <v>48</v>
      </c>
      <c r="D24" s="10" t="s">
        <v>8</v>
      </c>
      <c r="E24" s="10" t="s">
        <v>20</v>
      </c>
      <c r="F24" s="9">
        <v>3</v>
      </c>
      <c r="G24" s="10" t="s">
        <v>38</v>
      </c>
    </row>
    <row r="25" spans="1:7" ht="20" customHeight="1">
      <c r="A25" s="7">
        <v>23</v>
      </c>
      <c r="B25" s="8" t="s">
        <v>7</v>
      </c>
      <c r="C25" s="9">
        <v>34</v>
      </c>
      <c r="D25" s="10" t="s">
        <v>15</v>
      </c>
      <c r="E25" s="10" t="s">
        <v>16</v>
      </c>
      <c r="F25" s="9">
        <v>1</v>
      </c>
      <c r="G25" s="10" t="s">
        <v>39</v>
      </c>
    </row>
    <row r="26" spans="1:7" ht="20" customHeight="1">
      <c r="A26" s="7">
        <v>24</v>
      </c>
      <c r="B26" s="8" t="s">
        <v>11</v>
      </c>
      <c r="C26" s="9">
        <v>31</v>
      </c>
      <c r="D26" s="10" t="s">
        <v>12</v>
      </c>
      <c r="E26" s="10" t="s">
        <v>13</v>
      </c>
      <c r="F26" s="9">
        <v>2</v>
      </c>
      <c r="G26" s="10" t="s">
        <v>40</v>
      </c>
    </row>
    <row r="27" spans="1:7" ht="20" customHeight="1">
      <c r="A27" s="7">
        <v>25</v>
      </c>
      <c r="B27" s="8" t="s">
        <v>7</v>
      </c>
      <c r="C27" s="9">
        <v>29</v>
      </c>
      <c r="D27" s="10" t="s">
        <v>8</v>
      </c>
      <c r="E27" s="10" t="s">
        <v>16</v>
      </c>
      <c r="F27" s="9">
        <v>0</v>
      </c>
      <c r="G27" s="10" t="s">
        <v>41</v>
      </c>
    </row>
    <row r="28" spans="1:7" ht="20" customHeight="1">
      <c r="A28" s="7">
        <v>26</v>
      </c>
      <c r="B28" s="8" t="s">
        <v>11</v>
      </c>
      <c r="C28" s="9">
        <v>36</v>
      </c>
      <c r="D28" s="10" t="s">
        <v>15</v>
      </c>
      <c r="E28" s="10" t="s">
        <v>16</v>
      </c>
      <c r="F28" s="9">
        <v>2</v>
      </c>
      <c r="G28" s="10" t="s">
        <v>42</v>
      </c>
    </row>
    <row r="29" spans="1:7" ht="20" customHeight="1">
      <c r="A29" s="7">
        <v>27</v>
      </c>
      <c r="B29" s="8" t="s">
        <v>7</v>
      </c>
      <c r="C29" s="9">
        <v>28</v>
      </c>
      <c r="D29" s="10" t="s">
        <v>12</v>
      </c>
      <c r="E29" s="10" t="s">
        <v>13</v>
      </c>
      <c r="F29" s="9">
        <v>1</v>
      </c>
      <c r="G29" s="10" t="s">
        <v>43</v>
      </c>
    </row>
    <row r="30" spans="1:7" ht="20" customHeight="1">
      <c r="A30" s="7">
        <v>28</v>
      </c>
      <c r="B30" s="8" t="s">
        <v>11</v>
      </c>
      <c r="C30" s="9">
        <v>45</v>
      </c>
      <c r="D30" s="10" t="s">
        <v>8</v>
      </c>
      <c r="E30" s="10" t="s">
        <v>27</v>
      </c>
      <c r="F30" s="9">
        <v>3</v>
      </c>
      <c r="G30" s="10" t="s">
        <v>44</v>
      </c>
    </row>
    <row r="31" spans="1:7" ht="20" customHeight="1">
      <c r="A31" s="7">
        <v>29</v>
      </c>
      <c r="B31" s="8" t="s">
        <v>7</v>
      </c>
      <c r="C31" s="9">
        <v>33</v>
      </c>
      <c r="D31" s="10" t="s">
        <v>15</v>
      </c>
      <c r="E31" s="10" t="s">
        <v>9</v>
      </c>
      <c r="F31" s="9">
        <v>2</v>
      </c>
      <c r="G31" s="10" t="s">
        <v>45</v>
      </c>
    </row>
    <row r="32" spans="1:7" ht="20" customHeight="1">
      <c r="A32" s="7">
        <v>30</v>
      </c>
      <c r="B32" s="8" t="s">
        <v>11</v>
      </c>
      <c r="C32" s="9">
        <v>26</v>
      </c>
      <c r="D32" s="10" t="s">
        <v>12</v>
      </c>
      <c r="E32" s="10" t="s">
        <v>9</v>
      </c>
      <c r="F32" s="9">
        <v>0</v>
      </c>
      <c r="G32" s="10" t="s">
        <v>46</v>
      </c>
    </row>
    <row r="33" spans="1:7" ht="20" customHeight="1">
      <c r="A33" s="7">
        <v>31</v>
      </c>
      <c r="B33" s="8" t="s">
        <v>7</v>
      </c>
      <c r="C33" s="9">
        <v>23</v>
      </c>
      <c r="D33" s="10" t="s">
        <v>8</v>
      </c>
      <c r="E33" s="10" t="s">
        <v>13</v>
      </c>
      <c r="F33" s="9">
        <v>0</v>
      </c>
      <c r="G33" s="10" t="s">
        <v>47</v>
      </c>
    </row>
    <row r="34" spans="1:7" ht="20" customHeight="1">
      <c r="A34" s="7">
        <v>32</v>
      </c>
      <c r="B34" s="8" t="s">
        <v>11</v>
      </c>
      <c r="C34" s="9">
        <v>39</v>
      </c>
      <c r="D34" s="10" t="s">
        <v>15</v>
      </c>
      <c r="E34" s="10" t="s">
        <v>16</v>
      </c>
      <c r="F34" s="9">
        <v>1</v>
      </c>
      <c r="G34" s="10" t="s">
        <v>48</v>
      </c>
    </row>
    <row r="35" spans="1:7" ht="20" customHeight="1">
      <c r="A35" s="7">
        <v>33</v>
      </c>
      <c r="B35" s="8" t="s">
        <v>7</v>
      </c>
      <c r="C35" s="9">
        <v>41</v>
      </c>
      <c r="D35" s="10" t="s">
        <v>12</v>
      </c>
      <c r="E35" s="10" t="s">
        <v>16</v>
      </c>
      <c r="F35" s="9">
        <v>3</v>
      </c>
      <c r="G35" s="10" t="s">
        <v>49</v>
      </c>
    </row>
    <row r="36" spans="1:7" ht="20" customHeight="1">
      <c r="A36" s="7">
        <v>34</v>
      </c>
      <c r="B36" s="8" t="s">
        <v>11</v>
      </c>
      <c r="C36" s="9">
        <v>34</v>
      </c>
      <c r="D36" s="10" t="s">
        <v>8</v>
      </c>
      <c r="E36" s="10" t="s">
        <v>13</v>
      </c>
      <c r="F36" s="9">
        <v>2</v>
      </c>
      <c r="G36" s="10" t="s">
        <v>50</v>
      </c>
    </row>
    <row r="37" spans="1:7" ht="20" customHeight="1">
      <c r="A37" s="7">
        <v>35</v>
      </c>
      <c r="B37" s="8" t="s">
        <v>7</v>
      </c>
      <c r="C37" s="9">
        <v>37</v>
      </c>
      <c r="D37" s="10" t="s">
        <v>15</v>
      </c>
      <c r="E37" s="10" t="s">
        <v>9</v>
      </c>
      <c r="F37" s="9">
        <v>0</v>
      </c>
      <c r="G37" s="10" t="s">
        <v>51</v>
      </c>
    </row>
    <row r="38" spans="1:7" ht="20" customHeight="1">
      <c r="A38" s="7">
        <v>36</v>
      </c>
      <c r="B38" s="8" t="s">
        <v>11</v>
      </c>
      <c r="C38" s="9">
        <v>28</v>
      </c>
      <c r="D38" s="10" t="s">
        <v>12</v>
      </c>
      <c r="E38" s="10" t="s">
        <v>9</v>
      </c>
      <c r="F38" s="9">
        <v>1</v>
      </c>
      <c r="G38" s="10" t="s">
        <v>52</v>
      </c>
    </row>
    <row r="39" spans="1:7" ht="20" customHeight="1">
      <c r="A39" s="7">
        <v>37</v>
      </c>
      <c r="B39" s="8" t="s">
        <v>7</v>
      </c>
      <c r="C39" s="9">
        <v>30</v>
      </c>
      <c r="D39" s="10" t="s">
        <v>8</v>
      </c>
      <c r="E39" s="10" t="s">
        <v>13</v>
      </c>
      <c r="F39" s="9">
        <v>1</v>
      </c>
      <c r="G39" s="10" t="s">
        <v>53</v>
      </c>
    </row>
    <row r="40" spans="1:7" ht="20" customHeight="1">
      <c r="A40" s="7">
        <v>38</v>
      </c>
      <c r="B40" s="8" t="s">
        <v>11</v>
      </c>
      <c r="C40" s="9">
        <v>45</v>
      </c>
      <c r="D40" s="10" t="s">
        <v>15</v>
      </c>
      <c r="E40" s="10" t="s">
        <v>27</v>
      </c>
      <c r="F40" s="9">
        <v>3</v>
      </c>
      <c r="G40" s="10" t="s">
        <v>54</v>
      </c>
    </row>
    <row r="41" spans="1:7" ht="20" customHeight="1">
      <c r="A41" s="7">
        <v>39</v>
      </c>
      <c r="B41" s="8" t="s">
        <v>7</v>
      </c>
      <c r="C41" s="9">
        <v>32</v>
      </c>
      <c r="D41" s="10" t="s">
        <v>12</v>
      </c>
      <c r="E41" s="10" t="s">
        <v>16</v>
      </c>
      <c r="F41" s="9">
        <v>2</v>
      </c>
      <c r="G41" s="10" t="s">
        <v>55</v>
      </c>
    </row>
    <row r="42" spans="1:7" ht="20" customHeight="1">
      <c r="A42" s="7">
        <v>40</v>
      </c>
      <c r="B42" s="8" t="s">
        <v>11</v>
      </c>
      <c r="C42" s="9">
        <v>29</v>
      </c>
      <c r="D42" s="10" t="s">
        <v>8</v>
      </c>
      <c r="E42" s="10" t="s">
        <v>16</v>
      </c>
      <c r="F42" s="9">
        <v>0</v>
      </c>
      <c r="G42" s="10" t="s">
        <v>56</v>
      </c>
    </row>
    <row r="43" spans="1:7" ht="20" customHeight="1">
      <c r="A43" s="7">
        <v>41</v>
      </c>
      <c r="B43" s="8" t="s">
        <v>7</v>
      </c>
      <c r="C43" s="9">
        <v>26</v>
      </c>
      <c r="D43" s="10" t="s">
        <v>15</v>
      </c>
      <c r="E43" s="10" t="s">
        <v>13</v>
      </c>
      <c r="F43" s="9">
        <v>1</v>
      </c>
      <c r="G43" s="10" t="s">
        <v>57</v>
      </c>
    </row>
    <row r="44" spans="1:7" ht="20" customHeight="1">
      <c r="A44" s="7">
        <v>42</v>
      </c>
      <c r="B44" s="8" t="s">
        <v>11</v>
      </c>
      <c r="C44" s="9">
        <v>33</v>
      </c>
      <c r="D44" s="10" t="s">
        <v>12</v>
      </c>
      <c r="E44" s="10" t="s">
        <v>9</v>
      </c>
      <c r="F44" s="9">
        <v>2</v>
      </c>
      <c r="G44" s="10" t="s">
        <v>58</v>
      </c>
    </row>
    <row r="45" spans="1:7" ht="20" customHeight="1">
      <c r="A45" s="7">
        <v>43</v>
      </c>
      <c r="B45" s="8" t="s">
        <v>7</v>
      </c>
      <c r="C45" s="9">
        <v>25</v>
      </c>
      <c r="D45" s="10" t="s">
        <v>8</v>
      </c>
      <c r="E45" s="10" t="s">
        <v>16</v>
      </c>
      <c r="F45" s="9">
        <v>0</v>
      </c>
      <c r="G45" s="10" t="s">
        <v>59</v>
      </c>
    </row>
    <row r="46" spans="1:7" ht="20" customHeight="1">
      <c r="A46" s="7">
        <v>44</v>
      </c>
      <c r="B46" s="8" t="s">
        <v>11</v>
      </c>
      <c r="C46" s="9">
        <v>37</v>
      </c>
      <c r="D46" s="10" t="s">
        <v>15</v>
      </c>
      <c r="E46" s="10" t="s">
        <v>13</v>
      </c>
      <c r="F46" s="9">
        <v>1</v>
      </c>
      <c r="G46" s="10" t="s">
        <v>60</v>
      </c>
    </row>
    <row r="47" spans="1:7" ht="20" customHeight="1">
      <c r="A47" s="7">
        <v>45</v>
      </c>
      <c r="B47" s="8" t="s">
        <v>7</v>
      </c>
      <c r="C47" s="9">
        <v>40</v>
      </c>
      <c r="D47" s="10" t="s">
        <v>12</v>
      </c>
      <c r="E47" s="10" t="s">
        <v>9</v>
      </c>
      <c r="F47" s="9">
        <v>3</v>
      </c>
      <c r="G47" s="10" t="s">
        <v>61</v>
      </c>
    </row>
    <row r="48" spans="1:7" ht="20" customHeight="1">
      <c r="A48" s="7">
        <v>46</v>
      </c>
      <c r="B48" s="8" t="s">
        <v>11</v>
      </c>
      <c r="C48" s="9">
        <v>24</v>
      </c>
      <c r="D48" s="10" t="s">
        <v>8</v>
      </c>
      <c r="E48" s="10" t="s">
        <v>20</v>
      </c>
      <c r="F48" s="9">
        <v>0</v>
      </c>
      <c r="G48" s="10" t="s">
        <v>62</v>
      </c>
    </row>
    <row r="49" spans="1:7" ht="20" customHeight="1">
      <c r="A49" s="7">
        <v>47</v>
      </c>
      <c r="B49" s="8" t="s">
        <v>7</v>
      </c>
      <c r="C49" s="9">
        <v>31</v>
      </c>
      <c r="D49" s="10" t="s">
        <v>15</v>
      </c>
      <c r="E49" s="10" t="s">
        <v>16</v>
      </c>
      <c r="F49" s="9">
        <v>1</v>
      </c>
      <c r="G49" s="10" t="s">
        <v>63</v>
      </c>
    </row>
    <row r="50" spans="1:7" ht="20" customHeight="1">
      <c r="A50" s="7">
        <v>48</v>
      </c>
      <c r="B50" s="8" t="s">
        <v>11</v>
      </c>
      <c r="C50" s="9">
        <v>29</v>
      </c>
      <c r="D50" s="10" t="s">
        <v>12</v>
      </c>
      <c r="E50" s="10" t="s">
        <v>13</v>
      </c>
      <c r="F50" s="9">
        <v>2</v>
      </c>
      <c r="G50" s="10" t="s">
        <v>64</v>
      </c>
    </row>
    <row r="51" spans="1:7" ht="20" customHeight="1">
      <c r="A51" s="7">
        <v>49</v>
      </c>
      <c r="B51" s="8" t="s">
        <v>7</v>
      </c>
      <c r="C51" s="9">
        <v>27</v>
      </c>
      <c r="D51" s="10" t="s">
        <v>8</v>
      </c>
      <c r="E51" s="10" t="s">
        <v>9</v>
      </c>
      <c r="F51" s="9">
        <v>0</v>
      </c>
      <c r="G51" s="10" t="s">
        <v>65</v>
      </c>
    </row>
    <row r="52" spans="1:7" ht="20" customHeight="1">
      <c r="A52" s="7">
        <v>50</v>
      </c>
      <c r="B52" s="8" t="s">
        <v>11</v>
      </c>
      <c r="C52" s="9">
        <v>43</v>
      </c>
      <c r="D52" s="10" t="s">
        <v>15</v>
      </c>
      <c r="E52" s="10" t="s">
        <v>16</v>
      </c>
      <c r="F52" s="9">
        <v>3</v>
      </c>
      <c r="G52" s="10" t="s">
        <v>66</v>
      </c>
    </row>
    <row r="53" spans="1:7" ht="20" customHeight="1">
      <c r="A53" s="7">
        <v>51</v>
      </c>
      <c r="B53" s="8" t="s">
        <v>7</v>
      </c>
      <c r="C53" s="9">
        <v>33</v>
      </c>
      <c r="D53" s="10" t="s">
        <v>12</v>
      </c>
      <c r="E53" s="10" t="s">
        <v>13</v>
      </c>
      <c r="F53" s="9">
        <v>2</v>
      </c>
      <c r="G53" s="10" t="s">
        <v>67</v>
      </c>
    </row>
    <row r="54" spans="1:7" ht="20" customHeight="1">
      <c r="A54" s="7">
        <v>52</v>
      </c>
      <c r="B54" s="8" t="s">
        <v>11</v>
      </c>
      <c r="C54" s="9">
        <v>26</v>
      </c>
      <c r="D54" s="10" t="s">
        <v>8</v>
      </c>
      <c r="E54" s="10" t="s">
        <v>9</v>
      </c>
      <c r="F54" s="9">
        <v>1</v>
      </c>
      <c r="G54" s="10" t="s">
        <v>68</v>
      </c>
    </row>
    <row r="55" spans="1:7" ht="20" customHeight="1">
      <c r="A55" s="7">
        <v>53</v>
      </c>
      <c r="B55" s="8" t="s">
        <v>7</v>
      </c>
      <c r="C55" s="9">
        <v>29</v>
      </c>
      <c r="D55" s="10" t="s">
        <v>15</v>
      </c>
      <c r="E55" s="10" t="s">
        <v>16</v>
      </c>
      <c r="F55" s="9">
        <v>1</v>
      </c>
      <c r="G55" s="10" t="s">
        <v>69</v>
      </c>
    </row>
    <row r="56" spans="1:7" ht="20" customHeight="1">
      <c r="A56" s="7">
        <v>54</v>
      </c>
      <c r="B56" s="8" t="s">
        <v>11</v>
      </c>
      <c r="C56" s="9">
        <v>35</v>
      </c>
      <c r="D56" s="10" t="s">
        <v>12</v>
      </c>
      <c r="E56" s="10" t="s">
        <v>13</v>
      </c>
      <c r="F56" s="9">
        <v>2</v>
      </c>
      <c r="G56" s="10" t="s">
        <v>70</v>
      </c>
    </row>
    <row r="57" spans="1:7" ht="20" customHeight="1">
      <c r="A57" s="7">
        <v>55</v>
      </c>
      <c r="B57" s="8" t="s">
        <v>7</v>
      </c>
      <c r="C57" s="9">
        <v>28</v>
      </c>
      <c r="D57" s="10" t="s">
        <v>8</v>
      </c>
      <c r="E57" s="10" t="s">
        <v>9</v>
      </c>
      <c r="F57" s="9">
        <v>0</v>
      </c>
      <c r="G57" s="10" t="s">
        <v>71</v>
      </c>
    </row>
    <row r="58" spans="1:7" ht="20" customHeight="1">
      <c r="A58" s="7">
        <v>56</v>
      </c>
      <c r="B58" s="8" t="s">
        <v>11</v>
      </c>
      <c r="C58" s="9">
        <v>38</v>
      </c>
      <c r="D58" s="10" t="s">
        <v>15</v>
      </c>
      <c r="E58" s="10" t="s">
        <v>16</v>
      </c>
      <c r="F58" s="9">
        <v>3</v>
      </c>
      <c r="G58" s="10" t="s">
        <v>72</v>
      </c>
    </row>
    <row r="59" spans="1:7" ht="20" customHeight="1">
      <c r="A59" s="7">
        <v>57</v>
      </c>
      <c r="B59" s="8" t="s">
        <v>7</v>
      </c>
      <c r="C59" s="9">
        <v>31</v>
      </c>
      <c r="D59" s="10" t="s">
        <v>12</v>
      </c>
      <c r="E59" s="10" t="s">
        <v>13</v>
      </c>
      <c r="F59" s="9">
        <v>1</v>
      </c>
      <c r="G59" s="10" t="s">
        <v>73</v>
      </c>
    </row>
    <row r="60" spans="1:7" ht="20" customHeight="1">
      <c r="A60" s="7">
        <v>58</v>
      </c>
      <c r="B60" s="8" t="s">
        <v>11</v>
      </c>
      <c r="C60" s="9">
        <v>27</v>
      </c>
      <c r="D60" s="10" t="s">
        <v>8</v>
      </c>
      <c r="E60" s="10" t="s">
        <v>9</v>
      </c>
      <c r="F60" s="9">
        <v>0</v>
      </c>
      <c r="G60" s="10" t="s">
        <v>74</v>
      </c>
    </row>
    <row r="61" spans="1:7" ht="20" customHeight="1">
      <c r="A61" s="7">
        <v>59</v>
      </c>
      <c r="B61" s="8" t="s">
        <v>7</v>
      </c>
      <c r="C61" s="9">
        <v>25</v>
      </c>
      <c r="D61" s="10" t="s">
        <v>15</v>
      </c>
      <c r="E61" s="10" t="s">
        <v>16</v>
      </c>
      <c r="F61" s="9">
        <v>1</v>
      </c>
      <c r="G61" s="10" t="s">
        <v>75</v>
      </c>
    </row>
    <row r="62" spans="1:7" ht="20" customHeight="1">
      <c r="A62" s="7">
        <v>60</v>
      </c>
      <c r="B62" s="8" t="s">
        <v>11</v>
      </c>
      <c r="C62" s="9">
        <v>40</v>
      </c>
      <c r="D62" s="10" t="s">
        <v>12</v>
      </c>
      <c r="E62" s="10" t="s">
        <v>13</v>
      </c>
      <c r="F62" s="9">
        <v>2</v>
      </c>
      <c r="G62" s="10" t="s">
        <v>76</v>
      </c>
    </row>
    <row r="63" spans="1:7" ht="20" customHeight="1">
      <c r="A63" s="7">
        <v>61</v>
      </c>
      <c r="B63" s="8" t="s">
        <v>7</v>
      </c>
      <c r="C63" s="9">
        <v>30</v>
      </c>
      <c r="D63" s="10" t="s">
        <v>8</v>
      </c>
      <c r="E63" s="10" t="s">
        <v>9</v>
      </c>
      <c r="F63" s="9">
        <v>0</v>
      </c>
      <c r="G63" s="10" t="s">
        <v>77</v>
      </c>
    </row>
    <row r="64" spans="1:7" ht="20" customHeight="1">
      <c r="A64" s="7">
        <v>62</v>
      </c>
      <c r="B64" s="8" t="s">
        <v>11</v>
      </c>
      <c r="C64" s="9">
        <v>32</v>
      </c>
      <c r="D64" s="10" t="s">
        <v>15</v>
      </c>
      <c r="E64" s="10" t="s">
        <v>16</v>
      </c>
      <c r="F64" s="9">
        <v>1</v>
      </c>
      <c r="G64" s="10" t="s">
        <v>78</v>
      </c>
    </row>
    <row r="65" spans="1:7" ht="20" customHeight="1">
      <c r="A65" s="7">
        <v>63</v>
      </c>
      <c r="B65" s="8" t="s">
        <v>7</v>
      </c>
      <c r="C65" s="9">
        <v>34</v>
      </c>
      <c r="D65" s="10" t="s">
        <v>12</v>
      </c>
      <c r="E65" s="10" t="s">
        <v>13</v>
      </c>
      <c r="F65" s="9">
        <v>2</v>
      </c>
      <c r="G65" s="10" t="s">
        <v>79</v>
      </c>
    </row>
    <row r="66" spans="1:7" ht="20" customHeight="1">
      <c r="A66" s="7">
        <v>64</v>
      </c>
      <c r="B66" s="8" t="s">
        <v>11</v>
      </c>
      <c r="C66" s="9">
        <v>29</v>
      </c>
      <c r="D66" s="10" t="s">
        <v>8</v>
      </c>
      <c r="E66" s="10" t="s">
        <v>9</v>
      </c>
      <c r="F66" s="9">
        <v>0</v>
      </c>
      <c r="G66" s="10" t="s">
        <v>80</v>
      </c>
    </row>
    <row r="67" spans="1:7" ht="20" customHeight="1">
      <c r="A67" s="7">
        <v>65</v>
      </c>
      <c r="B67" s="8" t="s">
        <v>7</v>
      </c>
      <c r="C67" s="9">
        <v>26</v>
      </c>
      <c r="D67" s="10" t="s">
        <v>15</v>
      </c>
      <c r="E67" s="10" t="s">
        <v>16</v>
      </c>
      <c r="F67" s="9">
        <v>1</v>
      </c>
      <c r="G67" s="10" t="s">
        <v>81</v>
      </c>
    </row>
    <row r="68" spans="1:7" ht="20" customHeight="1">
      <c r="A68" s="7">
        <v>66</v>
      </c>
      <c r="B68" s="8" t="s">
        <v>11</v>
      </c>
      <c r="C68" s="9">
        <v>37</v>
      </c>
      <c r="D68" s="10" t="s">
        <v>12</v>
      </c>
      <c r="E68" s="10" t="s">
        <v>13</v>
      </c>
      <c r="F68" s="9">
        <v>3</v>
      </c>
      <c r="G68" s="10" t="s">
        <v>82</v>
      </c>
    </row>
    <row r="69" spans="1:7" ht="20" customHeight="1">
      <c r="A69" s="7">
        <v>67</v>
      </c>
      <c r="B69" s="8" t="s">
        <v>7</v>
      </c>
      <c r="C69" s="9">
        <v>28</v>
      </c>
      <c r="D69" s="10" t="s">
        <v>8</v>
      </c>
      <c r="E69" s="10" t="s">
        <v>9</v>
      </c>
      <c r="F69" s="9">
        <v>1</v>
      </c>
      <c r="G69" s="10" t="s">
        <v>83</v>
      </c>
    </row>
    <row r="70" spans="1:7" ht="20" customHeight="1">
      <c r="A70" s="7">
        <v>68</v>
      </c>
      <c r="B70" s="8" t="s">
        <v>11</v>
      </c>
      <c r="C70" s="9">
        <v>31</v>
      </c>
      <c r="D70" s="10" t="s">
        <v>15</v>
      </c>
      <c r="E70" s="10" t="s">
        <v>13</v>
      </c>
      <c r="F70" s="9">
        <v>2</v>
      </c>
      <c r="G70" s="10" t="s">
        <v>84</v>
      </c>
    </row>
    <row r="71" spans="1:7" ht="20" customHeight="1">
      <c r="A71" s="7">
        <v>69</v>
      </c>
      <c r="B71" s="8" t="s">
        <v>7</v>
      </c>
      <c r="C71" s="9">
        <v>33</v>
      </c>
      <c r="D71" s="10" t="s">
        <v>12</v>
      </c>
      <c r="E71" s="10" t="s">
        <v>16</v>
      </c>
      <c r="F71" s="9">
        <v>0</v>
      </c>
      <c r="G71" s="10" t="s">
        <v>85</v>
      </c>
    </row>
    <row r="72" spans="1:7" ht="20" customHeight="1">
      <c r="A72" s="7">
        <v>70</v>
      </c>
      <c r="B72" s="8" t="s">
        <v>11</v>
      </c>
      <c r="C72" s="9">
        <v>25</v>
      </c>
      <c r="D72" s="10" t="s">
        <v>8</v>
      </c>
      <c r="E72" s="10" t="s">
        <v>9</v>
      </c>
      <c r="F72" s="9">
        <v>1</v>
      </c>
      <c r="G72" s="10" t="s">
        <v>86</v>
      </c>
    </row>
    <row r="73" spans="1:7" ht="20" customHeight="1">
      <c r="A73" s="7">
        <v>71</v>
      </c>
      <c r="B73" s="8" t="s">
        <v>7</v>
      </c>
      <c r="C73" s="9">
        <v>29</v>
      </c>
      <c r="D73" s="10" t="s">
        <v>15</v>
      </c>
      <c r="E73" s="10" t="s">
        <v>13</v>
      </c>
      <c r="F73" s="9">
        <v>2</v>
      </c>
      <c r="G73" s="10" t="s">
        <v>87</v>
      </c>
    </row>
    <row r="74" spans="1:7" ht="20" customHeight="1">
      <c r="A74" s="7">
        <v>72</v>
      </c>
      <c r="B74" s="8" t="s">
        <v>11</v>
      </c>
      <c r="C74" s="9">
        <v>34</v>
      </c>
      <c r="D74" s="10" t="s">
        <v>12</v>
      </c>
      <c r="E74" s="10" t="s">
        <v>16</v>
      </c>
      <c r="F74" s="9">
        <v>3</v>
      </c>
      <c r="G74" s="10" t="s">
        <v>88</v>
      </c>
    </row>
    <row r="75" spans="1:7" ht="20" customHeight="1">
      <c r="A75" s="7">
        <v>73</v>
      </c>
      <c r="B75" s="8" t="s">
        <v>7</v>
      </c>
      <c r="C75" s="9">
        <v>27</v>
      </c>
      <c r="D75" s="10" t="s">
        <v>8</v>
      </c>
      <c r="E75" s="10" t="s">
        <v>9</v>
      </c>
      <c r="F75" s="9">
        <v>0</v>
      </c>
      <c r="G75" s="10" t="s">
        <v>89</v>
      </c>
    </row>
    <row r="76" spans="1:7" ht="20" customHeight="1">
      <c r="A76" s="7">
        <v>74</v>
      </c>
      <c r="B76" s="8" t="s">
        <v>11</v>
      </c>
      <c r="C76" s="9">
        <v>40</v>
      </c>
      <c r="D76" s="10" t="s">
        <v>15</v>
      </c>
      <c r="E76" s="10" t="s">
        <v>13</v>
      </c>
      <c r="F76" s="9">
        <v>2</v>
      </c>
      <c r="G76" s="10" t="s">
        <v>90</v>
      </c>
    </row>
    <row r="77" spans="1:7" ht="20" customHeight="1">
      <c r="A77" s="7">
        <v>75</v>
      </c>
      <c r="B77" s="8" t="s">
        <v>7</v>
      </c>
      <c r="C77" s="9">
        <v>31</v>
      </c>
      <c r="D77" s="10" t="s">
        <v>12</v>
      </c>
      <c r="E77" s="10" t="s">
        <v>16</v>
      </c>
      <c r="F77" s="9">
        <v>1</v>
      </c>
      <c r="G77" s="10" t="s">
        <v>91</v>
      </c>
    </row>
    <row r="78" spans="1:7" ht="20" customHeight="1">
      <c r="A78" s="7">
        <v>76</v>
      </c>
      <c r="B78" s="8" t="s">
        <v>11</v>
      </c>
      <c r="C78" s="9">
        <v>28</v>
      </c>
      <c r="D78" s="10" t="s">
        <v>8</v>
      </c>
      <c r="E78" s="10" t="s">
        <v>9</v>
      </c>
      <c r="F78" s="9">
        <v>0</v>
      </c>
      <c r="G78" s="10" t="s">
        <v>92</v>
      </c>
    </row>
    <row r="79" spans="1:7" ht="20" customHeight="1">
      <c r="A79" s="7">
        <v>77</v>
      </c>
      <c r="B79" s="8" t="s">
        <v>7</v>
      </c>
      <c r="C79" s="9">
        <v>26</v>
      </c>
      <c r="D79" s="10" t="s">
        <v>15</v>
      </c>
      <c r="E79" s="10" t="s">
        <v>13</v>
      </c>
      <c r="F79" s="9">
        <v>1</v>
      </c>
      <c r="G79" s="10" t="s">
        <v>93</v>
      </c>
    </row>
    <row r="80" spans="1:7" ht="20" customHeight="1">
      <c r="A80" s="7">
        <v>78</v>
      </c>
      <c r="B80" s="8" t="s">
        <v>11</v>
      </c>
      <c r="C80" s="9">
        <v>35</v>
      </c>
      <c r="D80" s="10" t="s">
        <v>12</v>
      </c>
      <c r="E80" s="10" t="s">
        <v>16</v>
      </c>
      <c r="F80" s="9">
        <v>2</v>
      </c>
      <c r="G80" s="10" t="s">
        <v>94</v>
      </c>
    </row>
    <row r="81" spans="1:7" ht="20" customHeight="1">
      <c r="A81" s="7">
        <v>79</v>
      </c>
      <c r="B81" s="8" t="s">
        <v>7</v>
      </c>
      <c r="C81" s="9">
        <v>29</v>
      </c>
      <c r="D81" s="10" t="s">
        <v>8</v>
      </c>
      <c r="E81" s="10" t="s">
        <v>9</v>
      </c>
      <c r="F81" s="9">
        <v>0</v>
      </c>
      <c r="G81" s="10" t="s">
        <v>95</v>
      </c>
    </row>
    <row r="82" spans="1:7" ht="20" customHeight="1">
      <c r="A82" s="7">
        <v>80</v>
      </c>
      <c r="B82" s="8" t="s">
        <v>11</v>
      </c>
      <c r="C82" s="9">
        <v>33</v>
      </c>
      <c r="D82" s="10" t="s">
        <v>15</v>
      </c>
      <c r="E82" s="10" t="s">
        <v>13</v>
      </c>
      <c r="F82" s="9">
        <v>3</v>
      </c>
      <c r="G82" s="10" t="s">
        <v>48</v>
      </c>
    </row>
    <row r="83" spans="1:7" ht="20" customHeight="1">
      <c r="A83" s="7">
        <v>81</v>
      </c>
      <c r="B83" s="8" t="s">
        <v>7</v>
      </c>
      <c r="C83" s="9">
        <v>30</v>
      </c>
      <c r="D83" s="10" t="s">
        <v>12</v>
      </c>
      <c r="E83" s="10" t="s">
        <v>16</v>
      </c>
      <c r="F83" s="9">
        <v>1</v>
      </c>
      <c r="G83" s="10" t="s">
        <v>96</v>
      </c>
    </row>
    <row r="84" spans="1:7" ht="20" customHeight="1">
      <c r="A84" s="7">
        <v>82</v>
      </c>
      <c r="B84" s="8" t="s">
        <v>11</v>
      </c>
      <c r="C84" s="9">
        <v>25</v>
      </c>
      <c r="D84" s="10" t="s">
        <v>8</v>
      </c>
      <c r="E84" s="10" t="s">
        <v>9</v>
      </c>
      <c r="F84" s="9">
        <v>0</v>
      </c>
      <c r="G84" s="10" t="s">
        <v>97</v>
      </c>
    </row>
    <row r="85" spans="1:7" ht="20" customHeight="1">
      <c r="A85" s="7">
        <v>83</v>
      </c>
      <c r="B85" s="8" t="s">
        <v>7</v>
      </c>
      <c r="C85" s="9">
        <v>28</v>
      </c>
      <c r="D85" s="10" t="s">
        <v>15</v>
      </c>
      <c r="E85" s="10" t="s">
        <v>13</v>
      </c>
      <c r="F85" s="9">
        <v>2</v>
      </c>
      <c r="G85" s="10" t="s">
        <v>98</v>
      </c>
    </row>
    <row r="86" spans="1:7" ht="20" customHeight="1">
      <c r="A86" s="7">
        <v>84</v>
      </c>
      <c r="B86" s="8" t="s">
        <v>11</v>
      </c>
      <c r="C86" s="9">
        <v>37</v>
      </c>
      <c r="D86" s="10" t="s">
        <v>12</v>
      </c>
      <c r="E86" s="10" t="s">
        <v>16</v>
      </c>
      <c r="F86" s="9">
        <v>3</v>
      </c>
      <c r="G86" s="10" t="s">
        <v>99</v>
      </c>
    </row>
    <row r="87" spans="1:7" ht="20" customHeight="1">
      <c r="A87" s="7">
        <v>85</v>
      </c>
      <c r="B87" s="8" t="s">
        <v>7</v>
      </c>
      <c r="C87" s="9">
        <v>32</v>
      </c>
      <c r="D87" s="10" t="s">
        <v>8</v>
      </c>
      <c r="E87" s="10" t="s">
        <v>9</v>
      </c>
      <c r="F87" s="9">
        <v>1</v>
      </c>
      <c r="G87" s="10" t="s">
        <v>100</v>
      </c>
    </row>
    <row r="88" spans="1:7" ht="20" customHeight="1">
      <c r="A88" s="7">
        <v>86</v>
      </c>
      <c r="B88" s="8" t="s">
        <v>11</v>
      </c>
      <c r="C88" s="9">
        <v>34</v>
      </c>
      <c r="D88" s="10" t="s">
        <v>15</v>
      </c>
      <c r="E88" s="10" t="s">
        <v>13</v>
      </c>
      <c r="F88" s="9">
        <v>2</v>
      </c>
      <c r="G88" s="10" t="s">
        <v>101</v>
      </c>
    </row>
    <row r="89" spans="1:7" ht="20" customHeight="1">
      <c r="A89" s="7">
        <v>87</v>
      </c>
      <c r="B89" s="8" t="s">
        <v>7</v>
      </c>
      <c r="C89" s="9">
        <v>27</v>
      </c>
      <c r="D89" s="10" t="s">
        <v>12</v>
      </c>
      <c r="E89" s="10" t="s">
        <v>16</v>
      </c>
      <c r="F89" s="9">
        <v>0</v>
      </c>
      <c r="G89" s="10" t="s">
        <v>102</v>
      </c>
    </row>
    <row r="90" spans="1:7" ht="20" customHeight="1">
      <c r="A90" s="7">
        <v>88</v>
      </c>
      <c r="B90" s="8" t="s">
        <v>11</v>
      </c>
      <c r="C90" s="9">
        <v>29</v>
      </c>
      <c r="D90" s="10" t="s">
        <v>8</v>
      </c>
      <c r="E90" s="10" t="s">
        <v>9</v>
      </c>
      <c r="F90" s="9">
        <v>1</v>
      </c>
      <c r="G90" s="10" t="s">
        <v>103</v>
      </c>
    </row>
    <row r="91" spans="1:7" ht="20" customHeight="1">
      <c r="A91" s="7">
        <v>89</v>
      </c>
      <c r="B91" s="8" t="s">
        <v>7</v>
      </c>
      <c r="C91" s="9">
        <v>30</v>
      </c>
      <c r="D91" s="10" t="s">
        <v>15</v>
      </c>
      <c r="E91" s="10" t="s">
        <v>13</v>
      </c>
      <c r="F91" s="9">
        <v>2</v>
      </c>
      <c r="G91" s="10" t="s">
        <v>104</v>
      </c>
    </row>
    <row r="92" spans="1:7" ht="20" customHeight="1">
      <c r="A92" s="7">
        <v>90</v>
      </c>
      <c r="B92" s="8" t="s">
        <v>11</v>
      </c>
      <c r="C92" s="9">
        <v>36</v>
      </c>
      <c r="D92" s="10" t="s">
        <v>12</v>
      </c>
      <c r="E92" s="10" t="s">
        <v>16</v>
      </c>
      <c r="F92" s="9">
        <v>3</v>
      </c>
      <c r="G92" s="10" t="s">
        <v>105</v>
      </c>
    </row>
    <row r="93" spans="1:7" ht="20" customHeight="1">
      <c r="A93" s="7">
        <v>91</v>
      </c>
      <c r="B93" s="8" t="s">
        <v>7</v>
      </c>
      <c r="C93" s="9">
        <v>31</v>
      </c>
      <c r="D93" s="10" t="s">
        <v>8</v>
      </c>
      <c r="E93" s="10" t="s">
        <v>9</v>
      </c>
      <c r="F93" s="9">
        <v>0</v>
      </c>
      <c r="G93" s="10" t="s">
        <v>106</v>
      </c>
    </row>
    <row r="94" spans="1:7" ht="20" customHeight="1">
      <c r="A94" s="7">
        <v>92</v>
      </c>
      <c r="B94" s="8" t="s">
        <v>11</v>
      </c>
      <c r="C94" s="9">
        <v>25</v>
      </c>
      <c r="D94" s="10" t="s">
        <v>15</v>
      </c>
      <c r="E94" s="10" t="s">
        <v>13</v>
      </c>
      <c r="F94" s="9">
        <v>1</v>
      </c>
      <c r="G94" s="10" t="s">
        <v>14</v>
      </c>
    </row>
    <row r="95" spans="1:7" ht="20" customHeight="1">
      <c r="A95" s="7">
        <v>93</v>
      </c>
      <c r="B95" s="8" t="s">
        <v>7</v>
      </c>
      <c r="C95" s="9">
        <v>28</v>
      </c>
      <c r="D95" s="10" t="s">
        <v>12</v>
      </c>
      <c r="E95" s="10" t="s">
        <v>16</v>
      </c>
      <c r="F95" s="9">
        <v>2</v>
      </c>
      <c r="G95" s="10" t="s">
        <v>107</v>
      </c>
    </row>
    <row r="96" spans="1:7" ht="20" customHeight="1">
      <c r="A96" s="7">
        <v>94</v>
      </c>
      <c r="B96" s="8" t="s">
        <v>11</v>
      </c>
      <c r="C96" s="9">
        <v>33</v>
      </c>
      <c r="D96" s="10" t="s">
        <v>8</v>
      </c>
      <c r="E96" s="10" t="s">
        <v>9</v>
      </c>
      <c r="F96" s="9">
        <v>0</v>
      </c>
      <c r="G96" s="10" t="s">
        <v>108</v>
      </c>
    </row>
    <row r="97" spans="1:7" ht="20" customHeight="1">
      <c r="A97" s="7">
        <v>95</v>
      </c>
      <c r="B97" s="8" t="s">
        <v>7</v>
      </c>
      <c r="C97" s="9">
        <v>26</v>
      </c>
      <c r="D97" s="10" t="s">
        <v>15</v>
      </c>
      <c r="E97" s="10" t="s">
        <v>13</v>
      </c>
      <c r="F97" s="9">
        <v>1</v>
      </c>
      <c r="G97" s="10" t="s">
        <v>109</v>
      </c>
    </row>
    <row r="98" spans="1:7" ht="20" customHeight="1">
      <c r="A98" s="7">
        <v>96</v>
      </c>
      <c r="B98" s="8" t="s">
        <v>11</v>
      </c>
      <c r="C98" s="9">
        <v>39</v>
      </c>
      <c r="D98" s="10" t="s">
        <v>12</v>
      </c>
      <c r="E98" s="10" t="s">
        <v>16</v>
      </c>
      <c r="F98" s="9">
        <v>3</v>
      </c>
      <c r="G98" s="10" t="s">
        <v>110</v>
      </c>
    </row>
    <row r="99" spans="1:7" ht="20" customHeight="1">
      <c r="A99" s="7">
        <v>97</v>
      </c>
      <c r="B99" s="8" t="s">
        <v>7</v>
      </c>
      <c r="C99" s="9">
        <v>29</v>
      </c>
      <c r="D99" s="10" t="s">
        <v>8</v>
      </c>
      <c r="E99" s="10" t="s">
        <v>9</v>
      </c>
      <c r="F99" s="9">
        <v>0</v>
      </c>
      <c r="G99" s="10" t="s">
        <v>111</v>
      </c>
    </row>
    <row r="100" spans="1:7" ht="20" customHeight="1">
      <c r="A100" s="7">
        <v>98</v>
      </c>
      <c r="B100" s="8" t="s">
        <v>11</v>
      </c>
      <c r="C100" s="9">
        <v>32</v>
      </c>
      <c r="D100" s="10" t="s">
        <v>15</v>
      </c>
      <c r="E100" s="10" t="s">
        <v>13</v>
      </c>
      <c r="F100" s="9">
        <v>2</v>
      </c>
      <c r="G100" s="10" t="s">
        <v>112</v>
      </c>
    </row>
    <row r="101" spans="1:7" ht="20" customHeight="1">
      <c r="A101" s="7">
        <v>99</v>
      </c>
      <c r="B101" s="8" t="s">
        <v>7</v>
      </c>
      <c r="C101" s="9">
        <v>27</v>
      </c>
      <c r="D101" s="10" t="s">
        <v>12</v>
      </c>
      <c r="E101" s="10" t="s">
        <v>16</v>
      </c>
      <c r="F101" s="9">
        <v>1</v>
      </c>
      <c r="G101" s="10" t="s">
        <v>113</v>
      </c>
    </row>
    <row r="102" spans="1:7" ht="20" customHeight="1">
      <c r="A102" s="7">
        <v>100</v>
      </c>
      <c r="B102" s="8" t="s">
        <v>11</v>
      </c>
      <c r="C102" s="9">
        <v>30</v>
      </c>
      <c r="D102" s="10" t="s">
        <v>8</v>
      </c>
      <c r="E102" s="10" t="s">
        <v>9</v>
      </c>
      <c r="F102" s="9">
        <v>0</v>
      </c>
      <c r="G102" s="10" t="s">
        <v>114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224E-B076-3146-BEF7-699520D21337}">
  <dimension ref="A1:K35"/>
  <sheetViews>
    <sheetView workbookViewId="0">
      <selection activeCell="C14" sqref="C14"/>
    </sheetView>
  </sheetViews>
  <sheetFormatPr baseColWidth="10" defaultRowHeight="13"/>
  <cols>
    <col min="1" max="1" width="22.6640625" customWidth="1"/>
    <col min="2" max="2" width="27.33203125" customWidth="1"/>
    <col min="3" max="3" width="30.33203125" customWidth="1"/>
    <col min="4" max="4" width="24" customWidth="1"/>
  </cols>
  <sheetData>
    <row r="1" spans="1:11" ht="14">
      <c r="A1" s="15" t="s">
        <v>115</v>
      </c>
      <c r="B1" s="16" t="s">
        <v>116</v>
      </c>
      <c r="C1" s="17" t="s">
        <v>117</v>
      </c>
      <c r="D1" s="17" t="s">
        <v>118</v>
      </c>
      <c r="E1" s="12"/>
      <c r="F1" s="12"/>
      <c r="G1" s="12"/>
      <c r="H1" s="12"/>
      <c r="I1" s="12"/>
      <c r="J1" s="12"/>
      <c r="K1" s="12"/>
    </row>
    <row r="2" spans="1:11" ht="14">
      <c r="A2" s="13" t="s">
        <v>1</v>
      </c>
      <c r="B2" s="14" t="s">
        <v>119</v>
      </c>
      <c r="C2" s="13" t="s">
        <v>120</v>
      </c>
      <c r="D2" s="13" t="s">
        <v>121</v>
      </c>
      <c r="E2" s="12"/>
      <c r="F2" s="12"/>
      <c r="G2" s="12"/>
      <c r="H2" s="12"/>
      <c r="I2" s="12"/>
      <c r="J2" s="12"/>
      <c r="K2" s="12"/>
    </row>
    <row r="3" spans="1:11" ht="14">
      <c r="A3" s="13" t="s">
        <v>3</v>
      </c>
      <c r="B3" s="12"/>
      <c r="C3" s="13" t="s">
        <v>2</v>
      </c>
      <c r="D3" s="12"/>
      <c r="E3" s="12"/>
      <c r="F3" s="12"/>
      <c r="G3" s="12"/>
      <c r="H3" s="12"/>
      <c r="I3" s="12"/>
      <c r="J3" s="12"/>
      <c r="K3" s="12"/>
    </row>
    <row r="4" spans="1:11" ht="14">
      <c r="A4" s="13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D13" s="12"/>
      <c r="E13" s="12"/>
      <c r="F13" s="12"/>
      <c r="G13" s="12"/>
      <c r="H13" s="12"/>
      <c r="I13" s="12"/>
      <c r="J13" s="12"/>
      <c r="K13" s="12"/>
    </row>
    <row r="14" spans="1:11">
      <c r="D14" s="12"/>
      <c r="E14" s="12"/>
      <c r="F14" s="12"/>
      <c r="G14" s="12"/>
      <c r="H14" s="12"/>
      <c r="I14" s="12"/>
      <c r="J14" s="12"/>
      <c r="K14" s="12"/>
    </row>
    <row r="15" spans="1:11">
      <c r="D15" s="12"/>
      <c r="E15" s="12"/>
      <c r="F15" s="12"/>
      <c r="G15" s="12"/>
      <c r="H15" s="12"/>
      <c r="I15" s="12"/>
      <c r="J15" s="12"/>
      <c r="K15" s="12"/>
    </row>
    <row r="16" spans="1:11">
      <c r="D16" s="12"/>
      <c r="E16" s="12"/>
      <c r="F16" s="12"/>
      <c r="G16" s="12"/>
      <c r="H16" s="12"/>
      <c r="I16" s="12"/>
      <c r="J16" s="12"/>
      <c r="K16" s="12"/>
    </row>
    <row r="17" spans="4:11">
      <c r="D17" s="12"/>
      <c r="E17" s="12"/>
      <c r="F17" s="12"/>
      <c r="G17" s="12"/>
      <c r="H17" s="12"/>
      <c r="I17" s="12"/>
      <c r="J17" s="12"/>
      <c r="K17" s="12"/>
    </row>
    <row r="18" spans="4:11">
      <c r="D18" s="12"/>
      <c r="E18" s="12"/>
      <c r="F18" s="12"/>
      <c r="G18" s="12"/>
      <c r="H18" s="12"/>
      <c r="I18" s="12"/>
      <c r="J18" s="12"/>
      <c r="K18" s="12"/>
    </row>
    <row r="19" spans="4:11">
      <c r="D19" s="12"/>
      <c r="E19" s="12"/>
      <c r="F19" s="12"/>
      <c r="G19" s="12"/>
      <c r="H19" s="12"/>
      <c r="I19" s="12"/>
      <c r="J19" s="12"/>
      <c r="K19" s="12"/>
    </row>
    <row r="20" spans="4:11">
      <c r="D20" s="12"/>
      <c r="E20" s="12"/>
      <c r="F20" s="12"/>
      <c r="G20" s="12"/>
      <c r="H20" s="12"/>
      <c r="I20" s="12"/>
      <c r="J20" s="12"/>
      <c r="K20" s="12"/>
    </row>
    <row r="21" spans="4:11">
      <c r="D21" s="12"/>
      <c r="E21" s="12"/>
      <c r="F21" s="12"/>
      <c r="G21" s="12"/>
      <c r="H21" s="12"/>
      <c r="I21" s="12"/>
      <c r="J21" s="12"/>
      <c r="K21" s="12"/>
    </row>
    <row r="22" spans="4:11">
      <c r="D22" s="12"/>
      <c r="E22" s="12"/>
      <c r="F22" s="12"/>
      <c r="G22" s="12"/>
      <c r="H22" s="12"/>
      <c r="I22" s="12"/>
      <c r="J22" s="12"/>
      <c r="K22" s="12"/>
    </row>
    <row r="23" spans="4:11">
      <c r="D23" s="12"/>
      <c r="E23" s="12"/>
      <c r="F23" s="12"/>
      <c r="G23" s="12"/>
      <c r="H23" s="12"/>
      <c r="I23" s="12"/>
      <c r="J23" s="12"/>
      <c r="K23" s="12"/>
    </row>
    <row r="24" spans="4:11">
      <c r="D24" s="12"/>
      <c r="E24" s="12"/>
      <c r="F24" s="12"/>
      <c r="G24" s="12"/>
      <c r="H24" s="12"/>
      <c r="I24" s="12"/>
      <c r="J24" s="12"/>
      <c r="K24" s="12"/>
    </row>
    <row r="25" spans="4:11">
      <c r="D25" s="12"/>
      <c r="E25" s="12"/>
      <c r="F25" s="12"/>
      <c r="G25" s="12"/>
      <c r="H25" s="12"/>
      <c r="I25" s="12"/>
      <c r="J25" s="12"/>
      <c r="K25" s="12"/>
    </row>
    <row r="26" spans="4:11">
      <c r="D26" s="12"/>
      <c r="E26" s="12"/>
      <c r="F26" s="12"/>
      <c r="G26" s="12"/>
      <c r="H26" s="12"/>
      <c r="I26" s="12"/>
      <c r="J26" s="12"/>
      <c r="K26" s="12"/>
    </row>
    <row r="27" spans="4:11">
      <c r="D27" s="12"/>
      <c r="E27" s="12"/>
      <c r="F27" s="12"/>
      <c r="G27" s="12"/>
      <c r="H27" s="12"/>
      <c r="I27" s="12"/>
      <c r="J27" s="12"/>
      <c r="K27" s="12"/>
    </row>
    <row r="28" spans="4:11">
      <c r="D28" s="12"/>
      <c r="E28" s="12"/>
      <c r="F28" s="12"/>
      <c r="G28" s="12"/>
      <c r="H28" s="12"/>
      <c r="I28" s="12"/>
      <c r="J28" s="12"/>
      <c r="K28" s="12"/>
    </row>
    <row r="29" spans="4:11">
      <c r="D29" s="12"/>
      <c r="E29" s="12"/>
      <c r="F29" s="12"/>
      <c r="G29" s="12"/>
      <c r="H29" s="12"/>
      <c r="I29" s="12"/>
      <c r="J29" s="12"/>
      <c r="K29" s="12"/>
    </row>
    <row r="30" spans="4:11">
      <c r="D30" s="12"/>
      <c r="E30" s="12"/>
      <c r="F30" s="12"/>
      <c r="G30" s="12"/>
      <c r="H30" s="12"/>
      <c r="I30" s="12"/>
      <c r="J30" s="12"/>
      <c r="K30" s="12"/>
    </row>
    <row r="31" spans="4:11">
      <c r="D31" s="12"/>
      <c r="E31" s="12"/>
      <c r="F31" s="12"/>
      <c r="G31" s="12"/>
      <c r="H31" s="12"/>
      <c r="I31" s="12"/>
      <c r="J31" s="12"/>
      <c r="K31" s="12"/>
    </row>
    <row r="32" spans="4:11">
      <c r="D32" s="12"/>
      <c r="E32" s="12"/>
      <c r="F32" s="12"/>
      <c r="G32" s="12"/>
      <c r="H32" s="12"/>
      <c r="I32" s="12"/>
      <c r="J32" s="12"/>
      <c r="K32" s="12"/>
    </row>
    <row r="33" spans="4:11">
      <c r="D33" s="12"/>
      <c r="E33" s="12"/>
      <c r="F33" s="12"/>
      <c r="G33" s="12"/>
      <c r="H33" s="12"/>
      <c r="I33" s="12"/>
      <c r="J33" s="12"/>
      <c r="K33" s="12"/>
    </row>
    <row r="34" spans="4:11">
      <c r="D34" s="12"/>
      <c r="E34" s="12"/>
      <c r="F34" s="12"/>
      <c r="G34" s="12"/>
      <c r="H34" s="12"/>
      <c r="I34" s="12"/>
      <c r="J34" s="12"/>
      <c r="K34" s="12"/>
    </row>
    <row r="35" spans="4:11">
      <c r="D35" s="12"/>
      <c r="E35" s="12"/>
      <c r="F35" s="12"/>
      <c r="G35" s="12"/>
      <c r="H35" s="12"/>
      <c r="I35" s="12"/>
      <c r="J35" s="12"/>
      <c r="K3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9127-0608-1E42-92A7-2CB5E353C59A}">
  <dimension ref="A1:L102"/>
  <sheetViews>
    <sheetView tabSelected="1" workbookViewId="0">
      <selection activeCell="H19" activeCellId="1" sqref="G20:H24 H19"/>
    </sheetView>
  </sheetViews>
  <sheetFormatPr baseColWidth="10" defaultRowHeight="13"/>
  <cols>
    <col min="1" max="1" width="11.83203125" style="1" customWidth="1"/>
    <col min="2" max="2" width="16" style="1" customWidth="1"/>
    <col min="3" max="3" width="7.1640625" style="1" customWidth="1"/>
    <col min="4" max="4" width="11.5" style="1" customWidth="1"/>
    <col min="5" max="5" width="5.33203125" style="1" customWidth="1"/>
    <col min="7" max="7" width="26.6640625" customWidth="1"/>
    <col min="8" max="8" width="30.33203125" customWidth="1"/>
    <col min="9" max="9" width="32.33203125" customWidth="1"/>
    <col min="10" max="10" width="28.5" customWidth="1"/>
    <col min="11" max="11" width="35.1640625" customWidth="1"/>
    <col min="12" max="12" width="18" customWidth="1"/>
  </cols>
  <sheetData>
    <row r="1" spans="1:12">
      <c r="A1"/>
      <c r="B1"/>
      <c r="C1"/>
      <c r="D1"/>
      <c r="E1"/>
    </row>
    <row r="2" spans="1:12">
      <c r="A2" s="2" t="s">
        <v>3</v>
      </c>
      <c r="B2" s="2" t="s">
        <v>4</v>
      </c>
      <c r="C2" s="2" t="s">
        <v>1</v>
      </c>
      <c r="D2" s="2" t="s">
        <v>5</v>
      </c>
      <c r="E2" s="2" t="s">
        <v>2</v>
      </c>
    </row>
    <row r="3" spans="1:12" ht="15" customHeight="1">
      <c r="A3" s="6" t="s">
        <v>8</v>
      </c>
      <c r="B3" s="6" t="s">
        <v>9</v>
      </c>
      <c r="C3" s="4" t="s">
        <v>7</v>
      </c>
      <c r="D3" s="5">
        <v>0</v>
      </c>
      <c r="E3" s="5">
        <v>25</v>
      </c>
      <c r="G3" s="20" t="s">
        <v>122</v>
      </c>
      <c r="H3" s="21" t="s">
        <v>123</v>
      </c>
      <c r="I3" s="20" t="s">
        <v>124</v>
      </c>
      <c r="J3" s="21" t="s">
        <v>125</v>
      </c>
      <c r="L3" s="30" t="s">
        <v>130</v>
      </c>
    </row>
    <row r="4" spans="1:12" ht="14">
      <c r="A4" s="10" t="s">
        <v>12</v>
      </c>
      <c r="B4" s="10" t="s">
        <v>13</v>
      </c>
      <c r="C4" s="8" t="s">
        <v>11</v>
      </c>
      <c r="D4" s="9">
        <v>2</v>
      </c>
      <c r="E4" s="9">
        <v>32</v>
      </c>
      <c r="G4" s="26" t="str" cm="1">
        <f t="array" ref="G4:G6">_xlfn.UNIQUE(A3:A102)</f>
        <v>Azzurri</v>
      </c>
      <c r="H4" s="27" t="str" cm="1">
        <f t="array" ref="H4:H8">_xlfn.UNIQUE(B3:B102)</f>
        <v>Laurea Triennale</v>
      </c>
      <c r="I4" s="26" t="str" cm="1">
        <f t="array" ref="I4:I5">_xlfn.UNIQUE(C3:C102)</f>
        <v>F</v>
      </c>
      <c r="J4" s="27" cm="1">
        <f t="array" ref="J4:J7">_xlfn.UNIQUE(D3:D102)</f>
        <v>0</v>
      </c>
      <c r="L4" s="27" cm="1">
        <f t="array" ref="L4:L28">_xlfn.UNIQUE(E3:E102)</f>
        <v>25</v>
      </c>
    </row>
    <row r="5" spans="1:12" ht="14">
      <c r="A5" s="10" t="s">
        <v>15</v>
      </c>
      <c r="B5" s="10" t="s">
        <v>16</v>
      </c>
      <c r="C5" s="8" t="s">
        <v>7</v>
      </c>
      <c r="D5" s="9">
        <v>1</v>
      </c>
      <c r="E5" s="9">
        <v>28</v>
      </c>
      <c r="G5" s="26" t="str">
        <v>Marroni</v>
      </c>
      <c r="H5" s="27" t="str">
        <v>Diploma</v>
      </c>
      <c r="I5" s="26" t="str">
        <v>M</v>
      </c>
      <c r="J5" s="27">
        <v>2</v>
      </c>
      <c r="L5" s="27">
        <v>32</v>
      </c>
    </row>
    <row r="6" spans="1:12" ht="14">
      <c r="A6" s="10" t="s">
        <v>12</v>
      </c>
      <c r="B6" s="10" t="s">
        <v>13</v>
      </c>
      <c r="C6" s="8" t="s">
        <v>11</v>
      </c>
      <c r="D6" s="9">
        <v>3</v>
      </c>
      <c r="E6" s="9">
        <v>45</v>
      </c>
      <c r="G6" s="26" t="str">
        <v>Verdi</v>
      </c>
      <c r="H6" s="27" t="str">
        <v>Laurea Magistrale</v>
      </c>
      <c r="J6" s="27">
        <v>1</v>
      </c>
      <c r="L6" s="27">
        <v>28</v>
      </c>
    </row>
    <row r="7" spans="1:12" ht="14">
      <c r="A7" s="10" t="s">
        <v>8</v>
      </c>
      <c r="B7" s="10" t="s">
        <v>16</v>
      </c>
      <c r="C7" s="8" t="s">
        <v>7</v>
      </c>
      <c r="D7" s="9">
        <v>2</v>
      </c>
      <c r="E7" s="9">
        <v>35</v>
      </c>
      <c r="H7" s="27" t="str">
        <v>Scuola Media</v>
      </c>
      <c r="J7" s="27">
        <v>3</v>
      </c>
      <c r="L7" s="27">
        <v>45</v>
      </c>
    </row>
    <row r="8" spans="1:12" ht="14">
      <c r="A8" s="10" t="s">
        <v>12</v>
      </c>
      <c r="B8" s="10" t="s">
        <v>20</v>
      </c>
      <c r="C8" s="8" t="s">
        <v>11</v>
      </c>
      <c r="D8" s="9">
        <v>0</v>
      </c>
      <c r="E8" s="9">
        <v>22</v>
      </c>
      <c r="H8" s="27" t="str">
        <v>Licenza Elementare</v>
      </c>
      <c r="L8" s="27">
        <v>35</v>
      </c>
    </row>
    <row r="9" spans="1:12">
      <c r="A9" s="10" t="s">
        <v>15</v>
      </c>
      <c r="B9" s="10" t="s">
        <v>9</v>
      </c>
      <c r="C9" s="8" t="s">
        <v>7</v>
      </c>
      <c r="D9" s="9">
        <v>1</v>
      </c>
      <c r="E9" s="9">
        <v>29</v>
      </c>
      <c r="L9" s="27">
        <v>22</v>
      </c>
    </row>
    <row r="10" spans="1:12">
      <c r="A10" s="10" t="s">
        <v>15</v>
      </c>
      <c r="B10" s="10" t="s">
        <v>13</v>
      </c>
      <c r="C10" s="8" t="s">
        <v>11</v>
      </c>
      <c r="D10" s="9">
        <v>2</v>
      </c>
      <c r="E10" s="9">
        <v>40</v>
      </c>
      <c r="L10" s="27">
        <v>29</v>
      </c>
    </row>
    <row r="11" spans="1:12">
      <c r="A11" s="10" t="s">
        <v>8</v>
      </c>
      <c r="B11" s="10" t="s">
        <v>16</v>
      </c>
      <c r="C11" s="8" t="s">
        <v>7</v>
      </c>
      <c r="D11" s="9">
        <v>0</v>
      </c>
      <c r="E11" s="9">
        <v>31</v>
      </c>
      <c r="G11" s="24" t="s">
        <v>126</v>
      </c>
      <c r="H11" s="25" t="s">
        <v>127</v>
      </c>
      <c r="I11" s="25" t="s">
        <v>128</v>
      </c>
      <c r="J11" s="25" t="s">
        <v>129</v>
      </c>
      <c r="L11" s="27">
        <v>40</v>
      </c>
    </row>
    <row r="12" spans="1:12" ht="14">
      <c r="A12" s="10" t="s">
        <v>12</v>
      </c>
      <c r="B12" s="10" t="s">
        <v>9</v>
      </c>
      <c r="C12" s="8" t="s">
        <v>11</v>
      </c>
      <c r="D12" s="9">
        <v>1</v>
      </c>
      <c r="E12" s="9">
        <v>27</v>
      </c>
      <c r="G12" s="26" t="str">
        <f>G4</f>
        <v>Azzurri</v>
      </c>
      <c r="H12" s="27">
        <f>COUNTIF($A$3:$A$102,G12)</f>
        <v>34</v>
      </c>
      <c r="I12" s="28">
        <f>H12/$H$15</f>
        <v>0.34</v>
      </c>
      <c r="J12" s="29">
        <f>I12</f>
        <v>0.34</v>
      </c>
      <c r="L12" s="27">
        <v>31</v>
      </c>
    </row>
    <row r="13" spans="1:12" ht="14">
      <c r="A13" s="10" t="s">
        <v>8</v>
      </c>
      <c r="B13" s="10" t="s">
        <v>9</v>
      </c>
      <c r="C13" s="8" t="s">
        <v>7</v>
      </c>
      <c r="D13" s="9">
        <v>1</v>
      </c>
      <c r="E13" s="9">
        <v>24</v>
      </c>
      <c r="G13" s="26" t="str">
        <f t="shared" ref="G13:G14" si="0">G5</f>
        <v>Marroni</v>
      </c>
      <c r="H13" s="27">
        <f t="shared" ref="H13:H14" si="1">COUNTIF($A$3:$A$102,G13)</f>
        <v>34</v>
      </c>
      <c r="I13" s="28">
        <f t="shared" ref="I13:I14" si="2">H13/$H$15</f>
        <v>0.34</v>
      </c>
      <c r="J13" s="29">
        <f t="shared" ref="J13:J14" si="3">I13</f>
        <v>0.34</v>
      </c>
      <c r="L13" s="27">
        <v>27</v>
      </c>
    </row>
    <row r="14" spans="1:12" ht="14">
      <c r="A14" s="10" t="s">
        <v>12</v>
      </c>
      <c r="B14" s="10" t="s">
        <v>27</v>
      </c>
      <c r="C14" s="8" t="s">
        <v>11</v>
      </c>
      <c r="D14" s="9">
        <v>3</v>
      </c>
      <c r="E14" s="9">
        <v>50</v>
      </c>
      <c r="G14" s="26" t="str">
        <f t="shared" si="0"/>
        <v>Verdi</v>
      </c>
      <c r="H14" s="27">
        <f t="shared" si="1"/>
        <v>32</v>
      </c>
      <c r="I14" s="28">
        <f t="shared" si="2"/>
        <v>0.32</v>
      </c>
      <c r="J14" s="29">
        <f t="shared" si="3"/>
        <v>0.32</v>
      </c>
      <c r="L14" s="27">
        <v>24</v>
      </c>
    </row>
    <row r="15" spans="1:12">
      <c r="A15" s="10" t="s">
        <v>15</v>
      </c>
      <c r="B15" s="10" t="s">
        <v>16</v>
      </c>
      <c r="C15" s="8" t="s">
        <v>7</v>
      </c>
      <c r="D15" s="9">
        <v>2</v>
      </c>
      <c r="E15" s="9">
        <v>37</v>
      </c>
      <c r="H15" s="31">
        <f>SUM(H12:H14)</f>
        <v>100</v>
      </c>
      <c r="I15" s="32">
        <f>SUM(I12:I14)</f>
        <v>1</v>
      </c>
      <c r="J15" s="33">
        <f>SUM(J12:J14)</f>
        <v>1</v>
      </c>
      <c r="L15" s="27">
        <v>50</v>
      </c>
    </row>
    <row r="16" spans="1:12">
      <c r="A16" s="10" t="s">
        <v>12</v>
      </c>
      <c r="B16" s="10" t="s">
        <v>13</v>
      </c>
      <c r="C16" s="8" t="s">
        <v>11</v>
      </c>
      <c r="D16" s="9">
        <v>2</v>
      </c>
      <c r="E16" s="9">
        <v>33</v>
      </c>
      <c r="L16" s="27">
        <v>37</v>
      </c>
    </row>
    <row r="17" spans="1:12">
      <c r="A17" s="10" t="s">
        <v>8</v>
      </c>
      <c r="B17" s="10" t="s">
        <v>9</v>
      </c>
      <c r="C17" s="8" t="s">
        <v>7</v>
      </c>
      <c r="D17" s="9">
        <v>0</v>
      </c>
      <c r="E17" s="9">
        <v>26</v>
      </c>
      <c r="L17" s="27">
        <v>33</v>
      </c>
    </row>
    <row r="18" spans="1:12">
      <c r="A18" s="10" t="s">
        <v>15</v>
      </c>
      <c r="B18" s="10" t="s">
        <v>16</v>
      </c>
      <c r="C18" s="8" t="s">
        <v>11</v>
      </c>
      <c r="D18" s="9">
        <v>1</v>
      </c>
      <c r="E18" s="9">
        <v>29</v>
      </c>
      <c r="L18" s="27">
        <v>26</v>
      </c>
    </row>
    <row r="19" spans="1:12" ht="14">
      <c r="A19" s="10" t="s">
        <v>8</v>
      </c>
      <c r="B19" s="10" t="s">
        <v>13</v>
      </c>
      <c r="C19" s="8" t="s">
        <v>7</v>
      </c>
      <c r="D19" s="9">
        <v>3</v>
      </c>
      <c r="E19" s="9">
        <v>42</v>
      </c>
      <c r="G19" s="20" t="s">
        <v>4</v>
      </c>
      <c r="H19" s="21" t="s">
        <v>127</v>
      </c>
      <c r="I19" s="21" t="s">
        <v>128</v>
      </c>
      <c r="J19" s="21" t="s">
        <v>129</v>
      </c>
      <c r="L19" s="27">
        <v>42</v>
      </c>
    </row>
    <row r="20" spans="1:12" ht="14">
      <c r="A20" s="10" t="s">
        <v>12</v>
      </c>
      <c r="B20" s="10" t="s">
        <v>16</v>
      </c>
      <c r="C20" s="8" t="s">
        <v>11</v>
      </c>
      <c r="D20" s="9">
        <v>2</v>
      </c>
      <c r="E20" s="9">
        <v>38</v>
      </c>
      <c r="G20" s="19" t="str">
        <f>H4</f>
        <v>Laurea Triennale</v>
      </c>
      <c r="H20" s="18">
        <f>COUNTIF($B$3:$B$102,G20)</f>
        <v>31</v>
      </c>
      <c r="I20" s="22">
        <f>H20/$H$25</f>
        <v>0.31</v>
      </c>
      <c r="J20" s="23">
        <f>I20</f>
        <v>0.31</v>
      </c>
      <c r="L20" s="27">
        <v>38</v>
      </c>
    </row>
    <row r="21" spans="1:12" ht="14">
      <c r="A21" s="10" t="s">
        <v>8</v>
      </c>
      <c r="B21" s="10" t="s">
        <v>9</v>
      </c>
      <c r="C21" s="8" t="s">
        <v>7</v>
      </c>
      <c r="D21" s="9">
        <v>1</v>
      </c>
      <c r="E21" s="9">
        <v>30</v>
      </c>
      <c r="G21" s="19" t="str">
        <f t="shared" ref="G21:G24" si="4">H5</f>
        <v>Diploma</v>
      </c>
      <c r="H21" s="18">
        <f t="shared" ref="H21:H24" si="5">COUNTIF($B$3:$B$102,G21)</f>
        <v>31</v>
      </c>
      <c r="I21" s="22">
        <f t="shared" ref="I21:I24" si="6">H21/$H$25</f>
        <v>0.31</v>
      </c>
      <c r="J21" s="23">
        <f t="shared" ref="J21:J24" si="7">I21</f>
        <v>0.31</v>
      </c>
      <c r="L21" s="27">
        <v>30</v>
      </c>
    </row>
    <row r="22" spans="1:12" ht="14">
      <c r="A22" s="10" t="s">
        <v>15</v>
      </c>
      <c r="B22" s="10" t="s">
        <v>13</v>
      </c>
      <c r="C22" s="8" t="s">
        <v>11</v>
      </c>
      <c r="D22" s="9">
        <v>0</v>
      </c>
      <c r="E22" s="9">
        <v>25</v>
      </c>
      <c r="G22" s="19" t="str">
        <f t="shared" si="4"/>
        <v>Laurea Magistrale</v>
      </c>
      <c r="H22" s="18">
        <f t="shared" si="5"/>
        <v>32</v>
      </c>
      <c r="I22" s="22">
        <f t="shared" si="6"/>
        <v>0.32</v>
      </c>
      <c r="J22" s="23">
        <f t="shared" si="7"/>
        <v>0.32</v>
      </c>
      <c r="L22" s="27">
        <v>48</v>
      </c>
    </row>
    <row r="23" spans="1:12" ht="14">
      <c r="A23" s="10" t="s">
        <v>12</v>
      </c>
      <c r="B23" s="10" t="s">
        <v>9</v>
      </c>
      <c r="C23" s="8" t="s">
        <v>7</v>
      </c>
      <c r="D23" s="9">
        <v>0</v>
      </c>
      <c r="E23" s="9">
        <v>27</v>
      </c>
      <c r="G23" s="19" t="str">
        <f t="shared" si="4"/>
        <v>Scuola Media</v>
      </c>
      <c r="H23" s="18">
        <f t="shared" si="5"/>
        <v>3</v>
      </c>
      <c r="I23" s="22">
        <f t="shared" si="6"/>
        <v>0.03</v>
      </c>
      <c r="J23" s="23">
        <f t="shared" si="7"/>
        <v>0.03</v>
      </c>
      <c r="L23" s="27">
        <v>34</v>
      </c>
    </row>
    <row r="24" spans="1:12" ht="14">
      <c r="A24" s="10" t="s">
        <v>8</v>
      </c>
      <c r="B24" s="10" t="s">
        <v>20</v>
      </c>
      <c r="C24" s="8" t="s">
        <v>11</v>
      </c>
      <c r="D24" s="9">
        <v>3</v>
      </c>
      <c r="E24" s="9">
        <v>48</v>
      </c>
      <c r="G24" s="19" t="str">
        <f t="shared" si="4"/>
        <v>Licenza Elementare</v>
      </c>
      <c r="H24" s="18">
        <f t="shared" si="5"/>
        <v>3</v>
      </c>
      <c r="I24" s="22">
        <f t="shared" si="6"/>
        <v>0.03</v>
      </c>
      <c r="J24" s="23">
        <f t="shared" si="7"/>
        <v>0.03</v>
      </c>
      <c r="L24" s="27">
        <v>36</v>
      </c>
    </row>
    <row r="25" spans="1:12">
      <c r="A25" s="10" t="s">
        <v>15</v>
      </c>
      <c r="B25" s="10" t="s">
        <v>16</v>
      </c>
      <c r="C25" s="8" t="s">
        <v>7</v>
      </c>
      <c r="D25" s="9">
        <v>1</v>
      </c>
      <c r="E25" s="9">
        <v>34</v>
      </c>
      <c r="H25" s="34">
        <f>SUM(H20:H24)</f>
        <v>100</v>
      </c>
      <c r="I25" s="35">
        <f>SUM(I20:I24)</f>
        <v>1</v>
      </c>
      <c r="J25" s="36">
        <f>SUM(J20:J24)</f>
        <v>1</v>
      </c>
      <c r="L25" s="27">
        <v>23</v>
      </c>
    </row>
    <row r="26" spans="1:12">
      <c r="A26" s="10" t="s">
        <v>12</v>
      </c>
      <c r="B26" s="10" t="s">
        <v>13</v>
      </c>
      <c r="C26" s="8" t="s">
        <v>11</v>
      </c>
      <c r="D26" s="9">
        <v>2</v>
      </c>
      <c r="E26" s="9">
        <v>31</v>
      </c>
      <c r="L26" s="27">
        <v>39</v>
      </c>
    </row>
    <row r="27" spans="1:12">
      <c r="A27" s="10" t="s">
        <v>8</v>
      </c>
      <c r="B27" s="10" t="s">
        <v>16</v>
      </c>
      <c r="C27" s="8" t="s">
        <v>7</v>
      </c>
      <c r="D27" s="9">
        <v>0</v>
      </c>
      <c r="E27" s="9">
        <v>29</v>
      </c>
      <c r="L27" s="27">
        <v>41</v>
      </c>
    </row>
    <row r="28" spans="1:12" ht="14">
      <c r="A28" s="10" t="s">
        <v>15</v>
      </c>
      <c r="B28" s="10" t="s">
        <v>16</v>
      </c>
      <c r="C28" s="8" t="s">
        <v>11</v>
      </c>
      <c r="D28" s="9">
        <v>2</v>
      </c>
      <c r="E28" s="9">
        <v>36</v>
      </c>
      <c r="G28" s="20" t="s">
        <v>1</v>
      </c>
      <c r="H28" s="21" t="s">
        <v>127</v>
      </c>
      <c r="I28" s="21" t="s">
        <v>128</v>
      </c>
      <c r="J28" s="21" t="s">
        <v>131</v>
      </c>
      <c r="L28" s="27">
        <v>43</v>
      </c>
    </row>
    <row r="29" spans="1:12" ht="14">
      <c r="A29" s="10" t="s">
        <v>12</v>
      </c>
      <c r="B29" s="10" t="s">
        <v>13</v>
      </c>
      <c r="C29" s="8" t="s">
        <v>7</v>
      </c>
      <c r="D29" s="9">
        <v>1</v>
      </c>
      <c r="E29" s="9">
        <v>28</v>
      </c>
      <c r="G29" s="19" t="str">
        <f>I4</f>
        <v>F</v>
      </c>
      <c r="H29" s="18">
        <f>COUNTIF($C$3:$C$102,G29)</f>
        <v>50</v>
      </c>
      <c r="I29" s="22">
        <f>H29/$H$31</f>
        <v>0.5</v>
      </c>
      <c r="J29" s="23">
        <f>I29</f>
        <v>0.5</v>
      </c>
    </row>
    <row r="30" spans="1:12" ht="14">
      <c r="A30" s="10" t="s">
        <v>8</v>
      </c>
      <c r="B30" s="10" t="s">
        <v>27</v>
      </c>
      <c r="C30" s="8" t="s">
        <v>11</v>
      </c>
      <c r="D30" s="9">
        <v>3</v>
      </c>
      <c r="E30" s="9">
        <v>45</v>
      </c>
      <c r="G30" s="19" t="str">
        <f>I5</f>
        <v>M</v>
      </c>
      <c r="H30" s="18">
        <f>COUNTIF($C$3:$C$102,G30)</f>
        <v>50</v>
      </c>
      <c r="I30" s="22">
        <f>H30/$H$31</f>
        <v>0.5</v>
      </c>
      <c r="J30" s="23">
        <f>I30</f>
        <v>0.5</v>
      </c>
    </row>
    <row r="31" spans="1:12">
      <c r="A31" s="10" t="s">
        <v>15</v>
      </c>
      <c r="B31" s="10" t="s">
        <v>9</v>
      </c>
      <c r="C31" s="8" t="s">
        <v>7</v>
      </c>
      <c r="D31" s="9">
        <v>2</v>
      </c>
      <c r="E31" s="9">
        <v>33</v>
      </c>
      <c r="H31" s="34">
        <f>SUM(H29:H30)</f>
        <v>100</v>
      </c>
      <c r="I31" s="35">
        <f>SUM(I29:I30)</f>
        <v>1</v>
      </c>
      <c r="J31" s="36">
        <f>SUM(J29:J30)</f>
        <v>1</v>
      </c>
    </row>
    <row r="32" spans="1:12">
      <c r="A32" s="10" t="s">
        <v>12</v>
      </c>
      <c r="B32" s="10" t="s">
        <v>9</v>
      </c>
      <c r="C32" s="8" t="s">
        <v>11</v>
      </c>
      <c r="D32" s="9">
        <v>0</v>
      </c>
      <c r="E32" s="9">
        <v>26</v>
      </c>
    </row>
    <row r="33" spans="1:10" ht="14">
      <c r="A33" s="10" t="s">
        <v>8</v>
      </c>
      <c r="B33" s="10" t="s">
        <v>13</v>
      </c>
      <c r="C33" s="8" t="s">
        <v>7</v>
      </c>
      <c r="D33" s="9">
        <v>0</v>
      </c>
      <c r="E33" s="9">
        <v>23</v>
      </c>
      <c r="G33" s="20" t="s">
        <v>5</v>
      </c>
      <c r="H33" s="21" t="s">
        <v>127</v>
      </c>
      <c r="I33" s="21" t="s">
        <v>128</v>
      </c>
      <c r="J33" s="21" t="s">
        <v>129</v>
      </c>
    </row>
    <row r="34" spans="1:10">
      <c r="A34" s="10" t="s">
        <v>15</v>
      </c>
      <c r="B34" s="10" t="s">
        <v>16</v>
      </c>
      <c r="C34" s="8" t="s">
        <v>11</v>
      </c>
      <c r="D34" s="9">
        <v>1</v>
      </c>
      <c r="E34" s="9">
        <v>39</v>
      </c>
      <c r="G34" s="19">
        <f>J4</f>
        <v>0</v>
      </c>
      <c r="H34" s="18">
        <f>COUNTIF($D$3:$D$102,G34)</f>
        <v>28</v>
      </c>
      <c r="I34" s="22">
        <f>H34/$H$38</f>
        <v>0.28000000000000003</v>
      </c>
      <c r="J34" s="23">
        <f>I34</f>
        <v>0.28000000000000003</v>
      </c>
    </row>
    <row r="35" spans="1:10">
      <c r="A35" s="10" t="s">
        <v>12</v>
      </c>
      <c r="B35" s="10" t="s">
        <v>16</v>
      </c>
      <c r="C35" s="8" t="s">
        <v>7</v>
      </c>
      <c r="D35" s="9">
        <v>3</v>
      </c>
      <c r="E35" s="9">
        <v>41</v>
      </c>
      <c r="G35" s="19">
        <f t="shared" ref="G35:G37" si="8">J5</f>
        <v>2</v>
      </c>
      <c r="H35" s="18">
        <f t="shared" ref="H35:H37" si="9">COUNTIF($D$3:$D$102,G35)</f>
        <v>26</v>
      </c>
      <c r="I35" s="22">
        <f t="shared" ref="I35:I37" si="10">H35/$H$38</f>
        <v>0.26</v>
      </c>
      <c r="J35" s="23">
        <f t="shared" ref="J35:J37" si="11">I35</f>
        <v>0.26</v>
      </c>
    </row>
    <row r="36" spans="1:10">
      <c r="A36" s="10" t="s">
        <v>8</v>
      </c>
      <c r="B36" s="10" t="s">
        <v>13</v>
      </c>
      <c r="C36" s="8" t="s">
        <v>11</v>
      </c>
      <c r="D36" s="9">
        <v>2</v>
      </c>
      <c r="E36" s="9">
        <v>34</v>
      </c>
      <c r="G36" s="19">
        <f t="shared" si="8"/>
        <v>1</v>
      </c>
      <c r="H36" s="18">
        <f t="shared" si="9"/>
        <v>30</v>
      </c>
      <c r="I36" s="22">
        <f t="shared" si="10"/>
        <v>0.3</v>
      </c>
      <c r="J36" s="23">
        <f t="shared" si="11"/>
        <v>0.3</v>
      </c>
    </row>
    <row r="37" spans="1:10">
      <c r="A37" s="10" t="s">
        <v>15</v>
      </c>
      <c r="B37" s="10" t="s">
        <v>9</v>
      </c>
      <c r="C37" s="8" t="s">
        <v>7</v>
      </c>
      <c r="D37" s="9">
        <v>0</v>
      </c>
      <c r="E37" s="9">
        <v>37</v>
      </c>
      <c r="G37" s="19">
        <f t="shared" si="8"/>
        <v>3</v>
      </c>
      <c r="H37" s="18">
        <f t="shared" si="9"/>
        <v>16</v>
      </c>
      <c r="I37" s="22">
        <f t="shared" si="10"/>
        <v>0.16</v>
      </c>
      <c r="J37" s="23">
        <f t="shared" si="11"/>
        <v>0.16</v>
      </c>
    </row>
    <row r="38" spans="1:10">
      <c r="A38" s="10" t="s">
        <v>12</v>
      </c>
      <c r="B38" s="10" t="s">
        <v>9</v>
      </c>
      <c r="C38" s="8" t="s">
        <v>11</v>
      </c>
      <c r="D38" s="9">
        <v>1</v>
      </c>
      <c r="E38" s="9">
        <v>28</v>
      </c>
      <c r="H38" s="34">
        <f>SUM(H34:H37)</f>
        <v>100</v>
      </c>
      <c r="I38" s="35">
        <f>SUM(I34:I37)</f>
        <v>1</v>
      </c>
      <c r="J38" s="36">
        <f>SUM(J34:J37)</f>
        <v>1</v>
      </c>
    </row>
    <row r="39" spans="1:10">
      <c r="A39" s="10" t="s">
        <v>8</v>
      </c>
      <c r="B39" s="10" t="s">
        <v>13</v>
      </c>
      <c r="C39" s="8" t="s">
        <v>7</v>
      </c>
      <c r="D39" s="9">
        <v>1</v>
      </c>
      <c r="E39" s="9">
        <v>30</v>
      </c>
    </row>
    <row r="40" spans="1:10">
      <c r="A40" s="10" t="s">
        <v>15</v>
      </c>
      <c r="B40" s="10" t="s">
        <v>27</v>
      </c>
      <c r="C40" s="8" t="s">
        <v>11</v>
      </c>
      <c r="D40" s="9">
        <v>3</v>
      </c>
      <c r="E40" s="9">
        <v>45</v>
      </c>
    </row>
    <row r="41" spans="1:10">
      <c r="A41" s="10" t="s">
        <v>12</v>
      </c>
      <c r="B41" s="10" t="s">
        <v>16</v>
      </c>
      <c r="C41" s="8" t="s">
        <v>7</v>
      </c>
      <c r="D41" s="9">
        <v>2</v>
      </c>
      <c r="E41" s="9">
        <v>32</v>
      </c>
    </row>
    <row r="42" spans="1:10">
      <c r="A42" s="10" t="s">
        <v>8</v>
      </c>
      <c r="B42" s="10" t="s">
        <v>16</v>
      </c>
      <c r="C42" s="8" t="s">
        <v>11</v>
      </c>
      <c r="D42" s="9">
        <v>0</v>
      </c>
      <c r="E42" s="9">
        <v>29</v>
      </c>
    </row>
    <row r="43" spans="1:10">
      <c r="A43" s="10" t="s">
        <v>15</v>
      </c>
      <c r="B43" s="10" t="s">
        <v>13</v>
      </c>
      <c r="C43" s="8" t="s">
        <v>7</v>
      </c>
      <c r="D43" s="9">
        <v>1</v>
      </c>
      <c r="E43" s="9">
        <v>26</v>
      </c>
    </row>
    <row r="44" spans="1:10">
      <c r="A44" s="10" t="s">
        <v>12</v>
      </c>
      <c r="B44" s="10" t="s">
        <v>9</v>
      </c>
      <c r="C44" s="8" t="s">
        <v>11</v>
      </c>
      <c r="D44" s="9">
        <v>2</v>
      </c>
      <c r="E44" s="9">
        <v>33</v>
      </c>
    </row>
    <row r="45" spans="1:10">
      <c r="A45" s="10" t="s">
        <v>8</v>
      </c>
      <c r="B45" s="10" t="s">
        <v>16</v>
      </c>
      <c r="C45" s="8" t="s">
        <v>7</v>
      </c>
      <c r="D45" s="9">
        <v>0</v>
      </c>
      <c r="E45" s="9">
        <v>25</v>
      </c>
    </row>
    <row r="46" spans="1:10">
      <c r="A46" s="10" t="s">
        <v>15</v>
      </c>
      <c r="B46" s="10" t="s">
        <v>13</v>
      </c>
      <c r="C46" s="8" t="s">
        <v>11</v>
      </c>
      <c r="D46" s="9">
        <v>1</v>
      </c>
      <c r="E46" s="9">
        <v>37</v>
      </c>
    </row>
    <row r="47" spans="1:10">
      <c r="A47" s="10" t="s">
        <v>12</v>
      </c>
      <c r="B47" s="10" t="s">
        <v>9</v>
      </c>
      <c r="C47" s="8" t="s">
        <v>7</v>
      </c>
      <c r="D47" s="9">
        <v>3</v>
      </c>
      <c r="E47" s="9">
        <v>40</v>
      </c>
    </row>
    <row r="48" spans="1:10">
      <c r="A48" s="10" t="s">
        <v>8</v>
      </c>
      <c r="B48" s="10" t="s">
        <v>20</v>
      </c>
      <c r="C48" s="8" t="s">
        <v>11</v>
      </c>
      <c r="D48" s="9">
        <v>0</v>
      </c>
      <c r="E48" s="9">
        <v>24</v>
      </c>
    </row>
    <row r="49" spans="1:5">
      <c r="A49" s="10" t="s">
        <v>15</v>
      </c>
      <c r="B49" s="10" t="s">
        <v>16</v>
      </c>
      <c r="C49" s="8" t="s">
        <v>7</v>
      </c>
      <c r="D49" s="9">
        <v>1</v>
      </c>
      <c r="E49" s="9">
        <v>31</v>
      </c>
    </row>
    <row r="50" spans="1:5">
      <c r="A50" s="10" t="s">
        <v>12</v>
      </c>
      <c r="B50" s="10" t="s">
        <v>13</v>
      </c>
      <c r="C50" s="8" t="s">
        <v>11</v>
      </c>
      <c r="D50" s="9">
        <v>2</v>
      </c>
      <c r="E50" s="9">
        <v>29</v>
      </c>
    </row>
    <row r="51" spans="1:5">
      <c r="A51" s="10" t="s">
        <v>8</v>
      </c>
      <c r="B51" s="10" t="s">
        <v>9</v>
      </c>
      <c r="C51" s="8" t="s">
        <v>7</v>
      </c>
      <c r="D51" s="9">
        <v>0</v>
      </c>
      <c r="E51" s="9">
        <v>27</v>
      </c>
    </row>
    <row r="52" spans="1:5">
      <c r="A52" s="10" t="s">
        <v>15</v>
      </c>
      <c r="B52" s="10" t="s">
        <v>16</v>
      </c>
      <c r="C52" s="8" t="s">
        <v>11</v>
      </c>
      <c r="D52" s="9">
        <v>3</v>
      </c>
      <c r="E52" s="9">
        <v>43</v>
      </c>
    </row>
    <row r="53" spans="1:5">
      <c r="A53" s="10" t="s">
        <v>12</v>
      </c>
      <c r="B53" s="10" t="s">
        <v>13</v>
      </c>
      <c r="C53" s="8" t="s">
        <v>7</v>
      </c>
      <c r="D53" s="9">
        <v>2</v>
      </c>
      <c r="E53" s="9">
        <v>33</v>
      </c>
    </row>
    <row r="54" spans="1:5">
      <c r="A54" s="10" t="s">
        <v>8</v>
      </c>
      <c r="B54" s="10" t="s">
        <v>9</v>
      </c>
      <c r="C54" s="8" t="s">
        <v>11</v>
      </c>
      <c r="D54" s="9">
        <v>1</v>
      </c>
      <c r="E54" s="9">
        <v>26</v>
      </c>
    </row>
    <row r="55" spans="1:5">
      <c r="A55" s="10" t="s">
        <v>15</v>
      </c>
      <c r="B55" s="10" t="s">
        <v>16</v>
      </c>
      <c r="C55" s="8" t="s">
        <v>7</v>
      </c>
      <c r="D55" s="9">
        <v>1</v>
      </c>
      <c r="E55" s="9">
        <v>29</v>
      </c>
    </row>
    <row r="56" spans="1:5">
      <c r="A56" s="10" t="s">
        <v>12</v>
      </c>
      <c r="B56" s="10" t="s">
        <v>13</v>
      </c>
      <c r="C56" s="8" t="s">
        <v>11</v>
      </c>
      <c r="D56" s="9">
        <v>2</v>
      </c>
      <c r="E56" s="9">
        <v>35</v>
      </c>
    </row>
    <row r="57" spans="1:5">
      <c r="A57" s="10" t="s">
        <v>8</v>
      </c>
      <c r="B57" s="10" t="s">
        <v>9</v>
      </c>
      <c r="C57" s="8" t="s">
        <v>7</v>
      </c>
      <c r="D57" s="9">
        <v>0</v>
      </c>
      <c r="E57" s="9">
        <v>28</v>
      </c>
    </row>
    <row r="58" spans="1:5">
      <c r="A58" s="10" t="s">
        <v>15</v>
      </c>
      <c r="B58" s="10" t="s">
        <v>16</v>
      </c>
      <c r="C58" s="8" t="s">
        <v>11</v>
      </c>
      <c r="D58" s="9">
        <v>3</v>
      </c>
      <c r="E58" s="9">
        <v>38</v>
      </c>
    </row>
    <row r="59" spans="1:5">
      <c r="A59" s="10" t="s">
        <v>12</v>
      </c>
      <c r="B59" s="10" t="s">
        <v>13</v>
      </c>
      <c r="C59" s="8" t="s">
        <v>7</v>
      </c>
      <c r="D59" s="9">
        <v>1</v>
      </c>
      <c r="E59" s="9">
        <v>31</v>
      </c>
    </row>
    <row r="60" spans="1:5">
      <c r="A60" s="10" t="s">
        <v>8</v>
      </c>
      <c r="B60" s="10" t="s">
        <v>9</v>
      </c>
      <c r="C60" s="8" t="s">
        <v>11</v>
      </c>
      <c r="D60" s="9">
        <v>0</v>
      </c>
      <c r="E60" s="9">
        <v>27</v>
      </c>
    </row>
    <row r="61" spans="1:5">
      <c r="A61" s="10" t="s">
        <v>15</v>
      </c>
      <c r="B61" s="10" t="s">
        <v>16</v>
      </c>
      <c r="C61" s="8" t="s">
        <v>7</v>
      </c>
      <c r="D61" s="9">
        <v>1</v>
      </c>
      <c r="E61" s="9">
        <v>25</v>
      </c>
    </row>
    <row r="62" spans="1:5">
      <c r="A62" s="10" t="s">
        <v>12</v>
      </c>
      <c r="B62" s="10" t="s">
        <v>13</v>
      </c>
      <c r="C62" s="8" t="s">
        <v>11</v>
      </c>
      <c r="D62" s="9">
        <v>2</v>
      </c>
      <c r="E62" s="9">
        <v>40</v>
      </c>
    </row>
    <row r="63" spans="1:5">
      <c r="A63" s="10" t="s">
        <v>8</v>
      </c>
      <c r="B63" s="10" t="s">
        <v>9</v>
      </c>
      <c r="C63" s="8" t="s">
        <v>7</v>
      </c>
      <c r="D63" s="9">
        <v>0</v>
      </c>
      <c r="E63" s="9">
        <v>30</v>
      </c>
    </row>
    <row r="64" spans="1:5">
      <c r="A64" s="10" t="s">
        <v>15</v>
      </c>
      <c r="B64" s="10" t="s">
        <v>16</v>
      </c>
      <c r="C64" s="8" t="s">
        <v>11</v>
      </c>
      <c r="D64" s="9">
        <v>1</v>
      </c>
      <c r="E64" s="9">
        <v>32</v>
      </c>
    </row>
    <row r="65" spans="1:5">
      <c r="A65" s="10" t="s">
        <v>12</v>
      </c>
      <c r="B65" s="10" t="s">
        <v>13</v>
      </c>
      <c r="C65" s="8" t="s">
        <v>7</v>
      </c>
      <c r="D65" s="9">
        <v>2</v>
      </c>
      <c r="E65" s="9">
        <v>34</v>
      </c>
    </row>
    <row r="66" spans="1:5">
      <c r="A66" s="10" t="s">
        <v>8</v>
      </c>
      <c r="B66" s="10" t="s">
        <v>9</v>
      </c>
      <c r="C66" s="8" t="s">
        <v>11</v>
      </c>
      <c r="D66" s="9">
        <v>0</v>
      </c>
      <c r="E66" s="9">
        <v>29</v>
      </c>
    </row>
    <row r="67" spans="1:5">
      <c r="A67" s="10" t="s">
        <v>15</v>
      </c>
      <c r="B67" s="10" t="s">
        <v>16</v>
      </c>
      <c r="C67" s="8" t="s">
        <v>7</v>
      </c>
      <c r="D67" s="9">
        <v>1</v>
      </c>
      <c r="E67" s="9">
        <v>26</v>
      </c>
    </row>
    <row r="68" spans="1:5">
      <c r="A68" s="10" t="s">
        <v>12</v>
      </c>
      <c r="B68" s="10" t="s">
        <v>13</v>
      </c>
      <c r="C68" s="8" t="s">
        <v>11</v>
      </c>
      <c r="D68" s="9">
        <v>3</v>
      </c>
      <c r="E68" s="9">
        <v>37</v>
      </c>
    </row>
    <row r="69" spans="1:5">
      <c r="A69" s="10" t="s">
        <v>8</v>
      </c>
      <c r="B69" s="10" t="s">
        <v>9</v>
      </c>
      <c r="C69" s="8" t="s">
        <v>7</v>
      </c>
      <c r="D69" s="9">
        <v>1</v>
      </c>
      <c r="E69" s="9">
        <v>28</v>
      </c>
    </row>
    <row r="70" spans="1:5">
      <c r="A70" s="10" t="s">
        <v>15</v>
      </c>
      <c r="B70" s="10" t="s">
        <v>13</v>
      </c>
      <c r="C70" s="8" t="s">
        <v>11</v>
      </c>
      <c r="D70" s="9">
        <v>2</v>
      </c>
      <c r="E70" s="9">
        <v>31</v>
      </c>
    </row>
    <row r="71" spans="1:5">
      <c r="A71" s="10" t="s">
        <v>12</v>
      </c>
      <c r="B71" s="10" t="s">
        <v>16</v>
      </c>
      <c r="C71" s="8" t="s">
        <v>7</v>
      </c>
      <c r="D71" s="9">
        <v>0</v>
      </c>
      <c r="E71" s="9">
        <v>33</v>
      </c>
    </row>
    <row r="72" spans="1:5">
      <c r="A72" s="10" t="s">
        <v>8</v>
      </c>
      <c r="B72" s="10" t="s">
        <v>9</v>
      </c>
      <c r="C72" s="8" t="s">
        <v>11</v>
      </c>
      <c r="D72" s="9">
        <v>1</v>
      </c>
      <c r="E72" s="9">
        <v>25</v>
      </c>
    </row>
    <row r="73" spans="1:5">
      <c r="A73" s="10" t="s">
        <v>15</v>
      </c>
      <c r="B73" s="10" t="s">
        <v>13</v>
      </c>
      <c r="C73" s="8" t="s">
        <v>7</v>
      </c>
      <c r="D73" s="9">
        <v>2</v>
      </c>
      <c r="E73" s="9">
        <v>29</v>
      </c>
    </row>
    <row r="74" spans="1:5">
      <c r="A74" s="10" t="s">
        <v>12</v>
      </c>
      <c r="B74" s="10" t="s">
        <v>16</v>
      </c>
      <c r="C74" s="8" t="s">
        <v>11</v>
      </c>
      <c r="D74" s="9">
        <v>3</v>
      </c>
      <c r="E74" s="9">
        <v>34</v>
      </c>
    </row>
    <row r="75" spans="1:5">
      <c r="A75" s="10" t="s">
        <v>8</v>
      </c>
      <c r="B75" s="10" t="s">
        <v>9</v>
      </c>
      <c r="C75" s="8" t="s">
        <v>7</v>
      </c>
      <c r="D75" s="9">
        <v>0</v>
      </c>
      <c r="E75" s="9">
        <v>27</v>
      </c>
    </row>
    <row r="76" spans="1:5">
      <c r="A76" s="10" t="s">
        <v>15</v>
      </c>
      <c r="B76" s="10" t="s">
        <v>13</v>
      </c>
      <c r="C76" s="8" t="s">
        <v>11</v>
      </c>
      <c r="D76" s="9">
        <v>2</v>
      </c>
      <c r="E76" s="9">
        <v>40</v>
      </c>
    </row>
    <row r="77" spans="1:5">
      <c r="A77" s="10" t="s">
        <v>12</v>
      </c>
      <c r="B77" s="10" t="s">
        <v>16</v>
      </c>
      <c r="C77" s="8" t="s">
        <v>7</v>
      </c>
      <c r="D77" s="9">
        <v>1</v>
      </c>
      <c r="E77" s="9">
        <v>31</v>
      </c>
    </row>
    <row r="78" spans="1:5">
      <c r="A78" s="10" t="s">
        <v>8</v>
      </c>
      <c r="B78" s="10" t="s">
        <v>9</v>
      </c>
      <c r="C78" s="8" t="s">
        <v>11</v>
      </c>
      <c r="D78" s="9">
        <v>0</v>
      </c>
      <c r="E78" s="9">
        <v>28</v>
      </c>
    </row>
    <row r="79" spans="1:5">
      <c r="A79" s="10" t="s">
        <v>15</v>
      </c>
      <c r="B79" s="10" t="s">
        <v>13</v>
      </c>
      <c r="C79" s="8" t="s">
        <v>7</v>
      </c>
      <c r="D79" s="9">
        <v>1</v>
      </c>
      <c r="E79" s="9">
        <v>26</v>
      </c>
    </row>
    <row r="80" spans="1:5">
      <c r="A80" s="10" t="s">
        <v>12</v>
      </c>
      <c r="B80" s="10" t="s">
        <v>16</v>
      </c>
      <c r="C80" s="8" t="s">
        <v>11</v>
      </c>
      <c r="D80" s="9">
        <v>2</v>
      </c>
      <c r="E80" s="9">
        <v>35</v>
      </c>
    </row>
    <row r="81" spans="1:5">
      <c r="A81" s="10" t="s">
        <v>8</v>
      </c>
      <c r="B81" s="10" t="s">
        <v>9</v>
      </c>
      <c r="C81" s="8" t="s">
        <v>7</v>
      </c>
      <c r="D81" s="9">
        <v>0</v>
      </c>
      <c r="E81" s="9">
        <v>29</v>
      </c>
    </row>
    <row r="82" spans="1:5">
      <c r="A82" s="10" t="s">
        <v>15</v>
      </c>
      <c r="B82" s="10" t="s">
        <v>13</v>
      </c>
      <c r="C82" s="8" t="s">
        <v>11</v>
      </c>
      <c r="D82" s="9">
        <v>3</v>
      </c>
      <c r="E82" s="9">
        <v>33</v>
      </c>
    </row>
    <row r="83" spans="1:5">
      <c r="A83" s="10" t="s">
        <v>12</v>
      </c>
      <c r="B83" s="10" t="s">
        <v>16</v>
      </c>
      <c r="C83" s="8" t="s">
        <v>7</v>
      </c>
      <c r="D83" s="9">
        <v>1</v>
      </c>
      <c r="E83" s="9">
        <v>30</v>
      </c>
    </row>
    <row r="84" spans="1:5">
      <c r="A84" s="10" t="s">
        <v>8</v>
      </c>
      <c r="B84" s="10" t="s">
        <v>9</v>
      </c>
      <c r="C84" s="8" t="s">
        <v>11</v>
      </c>
      <c r="D84" s="9">
        <v>0</v>
      </c>
      <c r="E84" s="9">
        <v>25</v>
      </c>
    </row>
    <row r="85" spans="1:5">
      <c r="A85" s="10" t="s">
        <v>15</v>
      </c>
      <c r="B85" s="10" t="s">
        <v>13</v>
      </c>
      <c r="C85" s="8" t="s">
        <v>7</v>
      </c>
      <c r="D85" s="9">
        <v>2</v>
      </c>
      <c r="E85" s="9">
        <v>28</v>
      </c>
    </row>
    <row r="86" spans="1:5">
      <c r="A86" s="10" t="s">
        <v>12</v>
      </c>
      <c r="B86" s="10" t="s">
        <v>16</v>
      </c>
      <c r="C86" s="8" t="s">
        <v>11</v>
      </c>
      <c r="D86" s="9">
        <v>3</v>
      </c>
      <c r="E86" s="9">
        <v>37</v>
      </c>
    </row>
    <row r="87" spans="1:5">
      <c r="A87" s="10" t="s">
        <v>8</v>
      </c>
      <c r="B87" s="10" t="s">
        <v>9</v>
      </c>
      <c r="C87" s="8" t="s">
        <v>7</v>
      </c>
      <c r="D87" s="9">
        <v>1</v>
      </c>
      <c r="E87" s="9">
        <v>32</v>
      </c>
    </row>
    <row r="88" spans="1:5">
      <c r="A88" s="10" t="s">
        <v>15</v>
      </c>
      <c r="B88" s="10" t="s">
        <v>13</v>
      </c>
      <c r="C88" s="8" t="s">
        <v>11</v>
      </c>
      <c r="D88" s="9">
        <v>2</v>
      </c>
      <c r="E88" s="9">
        <v>34</v>
      </c>
    </row>
    <row r="89" spans="1:5">
      <c r="A89" s="10" t="s">
        <v>12</v>
      </c>
      <c r="B89" s="10" t="s">
        <v>16</v>
      </c>
      <c r="C89" s="8" t="s">
        <v>7</v>
      </c>
      <c r="D89" s="9">
        <v>0</v>
      </c>
      <c r="E89" s="9">
        <v>27</v>
      </c>
    </row>
    <row r="90" spans="1:5">
      <c r="A90" s="10" t="s">
        <v>8</v>
      </c>
      <c r="B90" s="10" t="s">
        <v>9</v>
      </c>
      <c r="C90" s="8" t="s">
        <v>11</v>
      </c>
      <c r="D90" s="9">
        <v>1</v>
      </c>
      <c r="E90" s="9">
        <v>29</v>
      </c>
    </row>
    <row r="91" spans="1:5">
      <c r="A91" s="10" t="s">
        <v>15</v>
      </c>
      <c r="B91" s="10" t="s">
        <v>13</v>
      </c>
      <c r="C91" s="8" t="s">
        <v>7</v>
      </c>
      <c r="D91" s="9">
        <v>2</v>
      </c>
      <c r="E91" s="9">
        <v>30</v>
      </c>
    </row>
    <row r="92" spans="1:5">
      <c r="A92" s="10" t="s">
        <v>12</v>
      </c>
      <c r="B92" s="10" t="s">
        <v>16</v>
      </c>
      <c r="C92" s="8" t="s">
        <v>11</v>
      </c>
      <c r="D92" s="9">
        <v>3</v>
      </c>
      <c r="E92" s="9">
        <v>36</v>
      </c>
    </row>
    <row r="93" spans="1:5">
      <c r="A93" s="10" t="s">
        <v>8</v>
      </c>
      <c r="B93" s="10" t="s">
        <v>9</v>
      </c>
      <c r="C93" s="8" t="s">
        <v>7</v>
      </c>
      <c r="D93" s="9">
        <v>0</v>
      </c>
      <c r="E93" s="9">
        <v>31</v>
      </c>
    </row>
    <row r="94" spans="1:5">
      <c r="A94" s="10" t="s">
        <v>15</v>
      </c>
      <c r="B94" s="10" t="s">
        <v>13</v>
      </c>
      <c r="C94" s="8" t="s">
        <v>11</v>
      </c>
      <c r="D94" s="9">
        <v>1</v>
      </c>
      <c r="E94" s="9">
        <v>25</v>
      </c>
    </row>
    <row r="95" spans="1:5">
      <c r="A95" s="10" t="s">
        <v>12</v>
      </c>
      <c r="B95" s="10" t="s">
        <v>16</v>
      </c>
      <c r="C95" s="8" t="s">
        <v>7</v>
      </c>
      <c r="D95" s="9">
        <v>2</v>
      </c>
      <c r="E95" s="9">
        <v>28</v>
      </c>
    </row>
    <row r="96" spans="1:5">
      <c r="A96" s="10" t="s">
        <v>8</v>
      </c>
      <c r="B96" s="10" t="s">
        <v>9</v>
      </c>
      <c r="C96" s="8" t="s">
        <v>11</v>
      </c>
      <c r="D96" s="9">
        <v>0</v>
      </c>
      <c r="E96" s="9">
        <v>33</v>
      </c>
    </row>
    <row r="97" spans="1:5">
      <c r="A97" s="10" t="s">
        <v>15</v>
      </c>
      <c r="B97" s="10" t="s">
        <v>13</v>
      </c>
      <c r="C97" s="8" t="s">
        <v>7</v>
      </c>
      <c r="D97" s="9">
        <v>1</v>
      </c>
      <c r="E97" s="9">
        <v>26</v>
      </c>
    </row>
    <row r="98" spans="1:5">
      <c r="A98" s="10" t="s">
        <v>12</v>
      </c>
      <c r="B98" s="10" t="s">
        <v>16</v>
      </c>
      <c r="C98" s="8" t="s">
        <v>11</v>
      </c>
      <c r="D98" s="9">
        <v>3</v>
      </c>
      <c r="E98" s="9">
        <v>39</v>
      </c>
    </row>
    <row r="99" spans="1:5">
      <c r="A99" s="10" t="s">
        <v>8</v>
      </c>
      <c r="B99" s="10" t="s">
        <v>9</v>
      </c>
      <c r="C99" s="8" t="s">
        <v>7</v>
      </c>
      <c r="D99" s="9">
        <v>0</v>
      </c>
      <c r="E99" s="9">
        <v>29</v>
      </c>
    </row>
    <row r="100" spans="1:5">
      <c r="A100" s="10" t="s">
        <v>15</v>
      </c>
      <c r="B100" s="10" t="s">
        <v>13</v>
      </c>
      <c r="C100" s="8" t="s">
        <v>11</v>
      </c>
      <c r="D100" s="9">
        <v>2</v>
      </c>
      <c r="E100" s="9">
        <v>32</v>
      </c>
    </row>
    <row r="101" spans="1:5">
      <c r="A101" s="10" t="s">
        <v>12</v>
      </c>
      <c r="B101" s="10" t="s">
        <v>16</v>
      </c>
      <c r="C101" s="8" t="s">
        <v>7</v>
      </c>
      <c r="D101" s="9">
        <v>1</v>
      </c>
      <c r="E101" s="9">
        <v>27</v>
      </c>
    </row>
    <row r="102" spans="1:5">
      <c r="A102" s="10" t="s">
        <v>8</v>
      </c>
      <c r="B102" s="10" t="s">
        <v>9</v>
      </c>
      <c r="C102" s="8" t="s">
        <v>11</v>
      </c>
      <c r="D102" s="9">
        <v>0</v>
      </c>
      <c r="E102" s="9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3C36-CB18-DB43-A05B-7291BA759475}">
  <dimension ref="A1"/>
  <sheetViews>
    <sheetView workbookViewId="0">
      <selection activeCell="O16" sqref="O16"/>
    </sheetView>
  </sheetViews>
  <sheetFormatPr baseColWidth="10" defaultRowHeight="1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dataset </vt:lpstr>
      <vt:lpstr>Analisi Variabili</vt:lpstr>
      <vt:lpstr>Unici,CONTA.SE,Frequenze</vt:lpstr>
      <vt:lpstr>Grafici a colonne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Gabsi</cp:lastModifiedBy>
  <dcterms:created xsi:type="dcterms:W3CDTF">2026-01-02T17:11:28Z</dcterms:created>
  <dcterms:modified xsi:type="dcterms:W3CDTF">2026-01-02T17:11:28Z</dcterms:modified>
</cp:coreProperties>
</file>